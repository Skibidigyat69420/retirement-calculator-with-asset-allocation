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ets" sheetId="2" r:id="rId6"/>
    <sheet state="visible" name="Liabilities" sheetId="3" r:id="rId7"/>
    <sheet state="visible" name="Balance Sheet" sheetId="4" r:id="rId8"/>
    <sheet state="visible" name="Income Statement" sheetId="5" r:id="rId9"/>
    <sheet state="visible" name="Cash Flow" sheetId="6" r:id="rId10"/>
  </sheets>
  <definedNames/>
  <calcPr/>
</workbook>
</file>

<file path=xl/sharedStrings.xml><?xml version="1.0" encoding="utf-8"?>
<sst xmlns="http://schemas.openxmlformats.org/spreadsheetml/2006/main" count="238" uniqueCount="203">
  <si>
    <t>PERSONAL WEALTH PROFILE</t>
  </si>
  <si>
    <t>Comprehensive Financial Consolidation Report</t>
  </si>
  <si>
    <t>Satheesh Sivasubramonia Pillai  |  All amounts in INR (₹)  |  Exchange Rate: 309.3 INR/KD</t>
  </si>
  <si>
    <t>KEY FINANCIAL SUMMARY</t>
  </si>
  <si>
    <t>Total Assets</t>
  </si>
  <si>
    <t>Total Liabilities</t>
  </si>
  <si>
    <t>Net Worth</t>
  </si>
  <si>
    <t>Monthly Net Cash Flow</t>
  </si>
  <si>
    <t>Annual Net Cash Flow</t>
  </si>
  <si>
    <t>PORTFOLIO HIGHLIGHTS</t>
  </si>
  <si>
    <t>Total Liquid &amp; Financial Assets</t>
  </si>
  <si>
    <t>Total Real Estate Holdings</t>
  </si>
  <si>
    <t>Monthly Gross Income</t>
  </si>
  <si>
    <t>Monthly Total Outflows</t>
  </si>
  <si>
    <t>Debt-to-Asset Ratio</t>
  </si>
  <si>
    <t>Liquid Asset Coverage (months of expenses)</t>
  </si>
  <si>
    <t>REPORT INDEX</t>
  </si>
  <si>
    <t>Sheet Name</t>
  </si>
  <si>
    <t>Description</t>
  </si>
  <si>
    <t>Assets</t>
  </si>
  <si>
    <t>Detailed breakdown of all liquid, financial, and real estate assets (INR)</t>
  </si>
  <si>
    <t>Liabilities</t>
  </si>
  <si>
    <t>Complete liability schedule including loans and litigation exposure (INR)</t>
  </si>
  <si>
    <t>Balance Sheet</t>
  </si>
  <si>
    <t>Consolidated financial position — Assets, Liabilities &amp; Net Worth</t>
  </si>
  <si>
    <t>Income Statement</t>
  </si>
  <si>
    <t>Monthly and annual income breakdown with FD interest included</t>
  </si>
  <si>
    <t>Cash Flow</t>
  </si>
  <si>
    <t>Monthly and annual inflows, outflows, and net cash flow analysis</t>
  </si>
  <si>
    <t>Dashboard</t>
  </si>
  <si>
    <t>Visual charts and KPIs for quick financial overview</t>
  </si>
  <si>
    <t>IMPORTANT NOTES</t>
  </si>
  <si>
    <t>•  All Kuwait Dinar (KD) amounts converted to INR at 309.3 INR per 1 KD.</t>
  </si>
  <si>
    <t>•  FD interest calculated at 7% p.a. (India) and 3.5% p.a. (Kuwait) — estimated market rates.</t>
  </si>
  <si>
    <t>•  Under-construction flat (₹55 Lakhs paid) is under litigation — excluded from assets, included in liabilities as exposure.</t>
  </si>
  <si>
    <t>•  Insurance premiums (Life, Health, Critical Illness) not included due to non-availability of premium amounts.</t>
  </si>
  <si>
    <t>•  Endowment policy premium of ₹4 Lakhs/year included in annual expense analysis.</t>
  </si>
  <si>
    <t>•  Net Worth = Total Assets − Total Liabilities. Litigation exposure treated as per user instruction.</t>
  </si>
  <si>
    <t>ASSET REGISTER</t>
  </si>
  <si>
    <t>All values in INR (₹)  |  Exchange Rate: 309.3 INR/KD</t>
  </si>
  <si>
    <t>A. LIQUID &amp; FINANCIAL ASSETS</t>
  </si>
  <si>
    <t>Asset Description</t>
  </si>
  <si>
    <t>Original Amount</t>
  </si>
  <si>
    <t>INR Value</t>
  </si>
  <si>
    <t>% of Total</t>
  </si>
  <si>
    <t>Notes</t>
  </si>
  <si>
    <t>Fixed Deposit – Emergency Fund (India)</t>
  </si>
  <si>
    <t>Rs 10,00,000</t>
  </si>
  <si>
    <t>7% p.a. interest</t>
  </si>
  <si>
    <t>Emergency Fund (Kuwait)</t>
  </si>
  <si>
    <t>KD 4,000</t>
  </si>
  <si>
    <t>Liquid cash reserve</t>
  </si>
  <si>
    <t>Fixed Deposit – Company Capital (Kuwait)</t>
  </si>
  <si>
    <t>KD 3,000</t>
  </si>
  <si>
    <t>3.5% p.a. interest</t>
  </si>
  <si>
    <t>Fixed Deposit – Son's CFA Studies (Kuwait)</t>
  </si>
  <si>
    <t>Savings Account – Investable Corpus (India)</t>
  </si>
  <si>
    <t>Rs 35,00,000</t>
  </si>
  <si>
    <t>To be deployed in MFs</t>
  </si>
  <si>
    <t>Loan Receivable (Kuwait)</t>
  </si>
  <si>
    <t>KD 17,500</t>
  </si>
  <si>
    <t>Expected this year</t>
  </si>
  <si>
    <t>Gold (in locker)</t>
  </si>
  <si>
    <t>Rs 50,00,000</t>
  </si>
  <si>
    <t>Physical gold holdings</t>
  </si>
  <si>
    <t>Subtotal – Liquid &amp; Financial Assets</t>
  </si>
  <si>
    <t>B. REAL ESTATE HOLDINGS</t>
  </si>
  <si>
    <t>Property</t>
  </si>
  <si>
    <t>Location / Status</t>
  </si>
  <si>
    <t>Estimated Value (INR)</t>
  </si>
  <si>
    <t>Income / Notes</t>
  </si>
  <si>
    <t>Residential Flat*</t>
  </si>
  <si>
    <t>India – Rented</t>
  </si>
  <si>
    <t>Rs 24,500/month rental. Val calculated from 3.5% rental yield</t>
  </si>
  <si>
    <t>Plot 1</t>
  </si>
  <si>
    <t>Trivandrum – Held</t>
  </si>
  <si>
    <t>No income</t>
  </si>
  <si>
    <t>Plot 2</t>
  </si>
  <si>
    <t>Plot 3</t>
  </si>
  <si>
    <t>Bangalore – Held</t>
  </si>
  <si>
    <t>Under-Construction Flat</t>
  </si>
  <si>
    <t>Litigation – EXCLUDED</t>
  </si>
  <si>
    <t>—</t>
  </si>
  <si>
    <t>Rs 55L paid; not counted in assets per instruction</t>
  </si>
  <si>
    <t>Subtotal – Real Estate (Non-Litigation)</t>
  </si>
  <si>
    <t>TOTAL ASSETS</t>
  </si>
  <si>
    <t>LIABILITY SCHEDULE</t>
  </si>
  <si>
    <t>A. BORROWINGS &amp; LOANS</t>
  </si>
  <si>
    <t>Liability</t>
  </si>
  <si>
    <t>Outstanding (INR)</t>
  </si>
  <si>
    <t>EMI (INR)</t>
  </si>
  <si>
    <t>Tenure Left</t>
  </si>
  <si>
    <t>Total Payable</t>
  </si>
  <si>
    <t>Lender / Notes</t>
  </si>
  <si>
    <t>Home Loan (India)</t>
  </si>
  <si>
    <t>~1 year</t>
  </si>
  <si>
    <t>SBI</t>
  </si>
  <si>
    <t>Personal Loan (Kuwait)</t>
  </si>
  <si>
    <t>~4 years</t>
  </si>
  <si>
    <t>Burgan Bank</t>
  </si>
  <si>
    <t>Subtotal – Loans</t>
  </si>
  <si>
    <t>B. LITIGATION-RELATED EXPOSURE</t>
  </si>
  <si>
    <t>Item</t>
  </si>
  <si>
    <t>Amount (INR)</t>
  </si>
  <si>
    <t>Status</t>
  </si>
  <si>
    <t>Expected Outcome</t>
  </si>
  <si>
    <t>Recovery</t>
  </si>
  <si>
    <t>Flat Advance Paid (Under Litigation)</t>
  </si>
  <si>
    <t>In litigation</t>
  </si>
  <si>
    <t>If won: flat + Rs 40L needed</t>
  </si>
  <si>
    <t>If lost: Rs 10-15L</t>
  </si>
  <si>
    <t>Rs 55L already paid; excluded from assets</t>
  </si>
  <si>
    <t>TOTAL LIABILITIES</t>
  </si>
  <si>
    <t>CONSOLIDATED BALANCE SHEET</t>
  </si>
  <si>
    <t>As of June 2026  |  All amounts in INR (₹)  |  Exchange Rate: 309.3 INR/KD</t>
  </si>
  <si>
    <t>ASSETS</t>
  </si>
  <si>
    <t>LIABILITIES</t>
  </si>
  <si>
    <t>LIQUID &amp; FINANCIAL ASSETS</t>
  </si>
  <si>
    <t>BORROWINGS &amp; LOANS</t>
  </si>
  <si>
    <t>Fixed Deposit – Emergency Fund</t>
  </si>
  <si>
    <t>Home Loan – SBI (India)</t>
  </si>
  <si>
    <t>Personal Loan – Burgan Bank</t>
  </si>
  <si>
    <t>Subtotal – Liquid &amp; Financial</t>
  </si>
  <si>
    <t>LITIGATION EXPOSURE</t>
  </si>
  <si>
    <t>Subtotal – Litigation</t>
  </si>
  <si>
    <t>REAL ESTATE HOLDINGS</t>
  </si>
  <si>
    <t>Residential Property</t>
  </si>
  <si>
    <t>KEY METRICS</t>
  </si>
  <si>
    <t>Plot 1 – Trivandrum</t>
  </si>
  <si>
    <t>Plot 2 – Trivandrum</t>
  </si>
  <si>
    <t>Liquid Assets to Total Assets</t>
  </si>
  <si>
    <t>Plot – Bangalore</t>
  </si>
  <si>
    <t>Real Estate to Total Assets</t>
  </si>
  <si>
    <t>Subtotal – Real Estate</t>
  </si>
  <si>
    <t>Net Worth Ratio</t>
  </si>
  <si>
    <t>NET WORTH (Assets – Liabilities)</t>
  </si>
  <si>
    <t>INCOME STATEMENT</t>
  </si>
  <si>
    <t>Monthly &amp; Annual  |  All amounts in INR (₹)  |  Exchange Rate: 309.3 INR/KD</t>
  </si>
  <si>
    <t>MONTHLY INCOME</t>
  </si>
  <si>
    <t>Income Source</t>
  </si>
  <si>
    <t>Monthly (INR)</t>
  </si>
  <si>
    <t>Annual (INR)</t>
  </si>
  <si>
    <t>Freelance Income (3 SME clients)</t>
  </si>
  <si>
    <t>KD 1,150</t>
  </si>
  <si>
    <t>Rs 40-45L/year range</t>
  </si>
  <si>
    <t>Rental Income – India Flat</t>
  </si>
  <si>
    <t>Rs 24,500</t>
  </si>
  <si>
    <t>Including AMC</t>
  </si>
  <si>
    <t>FD Interest – India (7% p.a.)</t>
  </si>
  <si>
    <t>Rs 10L × 7% ÷ 12</t>
  </si>
  <si>
    <t>Estimated rate</t>
  </si>
  <si>
    <t>FD Interest – Company Capital (3.5% p.a.)</t>
  </si>
  <si>
    <t>KD 3K × 3.5% ÷ 12</t>
  </si>
  <si>
    <t>FD Interest – Son's CFA (3.5% p.a.)</t>
  </si>
  <si>
    <t>TOTAL MONTHLY INCOME</t>
  </si>
  <si>
    <t>100%</t>
  </si>
  <si>
    <t>ANNUAL EXPENSES (Non-EMI)</t>
  </si>
  <si>
    <t>Expense Item</t>
  </si>
  <si>
    <t>Annual Amount</t>
  </si>
  <si>
    <t>Monthly Equivalent</t>
  </si>
  <si>
    <t>Endowment Policy Premium (Ageas Federal)</t>
  </si>
  <si>
    <t>Rs 4L/year, 2021-2027</t>
  </si>
  <si>
    <t>Life / Health / Critical Illness Premiums</t>
  </si>
  <si>
    <t>Not specified</t>
  </si>
  <si>
    <t>Metlife Life $320K, Niva Bupa Rs 1Cr, CI $150K</t>
  </si>
  <si>
    <t>INCOME SUMMARY</t>
  </si>
  <si>
    <t>Total Annual Gross Income</t>
  </si>
  <si>
    <t>Total Annual EMI Outflows</t>
  </si>
  <si>
    <t>Annual Household Expenses</t>
  </si>
  <si>
    <t>Annual Insurance Premium</t>
  </si>
  <si>
    <t>Total Annual Outflows</t>
  </si>
  <si>
    <t>NET ANNUAL SURPLUS (Income – Outflows)</t>
  </si>
  <si>
    <t>CASH FLOW STATEMENT</t>
  </si>
  <si>
    <t>MONTHLY CASH FLOW</t>
  </si>
  <si>
    <t>% of Annual Inflow</t>
  </si>
  <si>
    <t>CASH INFLOWS</t>
  </si>
  <si>
    <t>Freelance Income</t>
  </si>
  <si>
    <t>3 SME clients</t>
  </si>
  <si>
    <t>FD Interest – India (7%)</t>
  </si>
  <si>
    <t>Estimated</t>
  </si>
  <si>
    <t>FD Interest – Co. Capital (3.5%)</t>
  </si>
  <si>
    <t>Kuwait FD</t>
  </si>
  <si>
    <t>FD Interest – Son's CFA (3.5%)</t>
  </si>
  <si>
    <t>TOTAL INFLOWS</t>
  </si>
  <si>
    <t>CASH OUTFLOWS</t>
  </si>
  <si>
    <t>Personal Loan EMI (Burgan Bank)</t>
  </si>
  <si>
    <t>KD 515</t>
  </si>
  <si>
    <t>~4 years remaining</t>
  </si>
  <si>
    <t>Household Expenses (Kuwait)</t>
  </si>
  <si>
    <t>KD 435</t>
  </si>
  <si>
    <t>Monthly living</t>
  </si>
  <si>
    <t>Home Loan EMI (SBI)</t>
  </si>
  <si>
    <t>Rs 31,400</t>
  </si>
  <si>
    <t>~1 year remaining</t>
  </si>
  <si>
    <t>TOTAL OUTFLOWS</t>
  </si>
  <si>
    <t>NET CASH FLOW</t>
  </si>
  <si>
    <t>Net Monthly Cash Flow</t>
  </si>
  <si>
    <t>Savings Rate (Net / Inflow)</t>
  </si>
  <si>
    <t>ANNUAL COMMITMENTS</t>
  </si>
  <si>
    <t>Endowment Policy Premium (Annual)</t>
  </si>
  <si>
    <t>Rs 4L/year, last payment 2027</t>
  </si>
  <si>
    <t>Total Annual Commitments (EMI + Household + Insurance)</t>
  </si>
  <si>
    <t>Net Annual Cash Flow after All Commitments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</si>
</sst>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₹#,##0"/>
    <numFmt numFmtId="165" formatCode="0.00\x"/>
    <numFmt numFmtId="166" formatCode="0.0%"/>
  </numFmts>
  <fonts count="21">
    <font>
      <sz val="11.0"/>
      <color rgb="FF000000"/>
      <name val="Calibri"/>
      <scheme val="minor"/>
    </font>
    <font>
      <b/>
      <sz val="20.0"/>
      <color rgb="FF122B49"/>
      <name val="Calibri"/>
    </font>
    <font>
      <sz val="12.0"/>
      <color rgb="FF666666"/>
      <name val="Calibri"/>
    </font>
    <font>
      <i/>
      <sz val="10.0"/>
      <color rgb="FF666666"/>
      <name val="Calibri"/>
    </font>
    <font>
      <sz val="11.0"/>
      <color rgb="FF000000"/>
      <name val="Calibri"/>
    </font>
    <font>
      <b/>
      <sz val="13.0"/>
      <color rgb="FF122B49"/>
      <name val="Calibri"/>
    </font>
    <font/>
    <font>
      <b/>
      <sz val="9.0"/>
      <color rgb="FF666666"/>
      <name val="Calibri"/>
    </font>
    <font>
      <b/>
      <sz val="14.0"/>
      <color rgb="FF122B49"/>
      <name val="Calibri"/>
    </font>
    <font>
      <sz val="11.0"/>
      <color rgb="FF2E5C8A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>
      <sz val="10.0"/>
      <color rgb="FF666666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2.0"/>
      <color rgb="FF000000"/>
      <name val="Calibri"/>
    </font>
    <font>
      <b/>
      <sz val="13.0"/>
      <color rgb="FFFFFFFF"/>
      <name val="Calibri"/>
    </font>
    <font>
      <b/>
      <sz val="11.0"/>
      <color rgb="FF8B3A3A"/>
      <name val="Calibri"/>
    </font>
    <font>
      <b/>
      <sz val="14.0"/>
      <color rgb="FFFFFFFF"/>
      <name val="Calibri"/>
    </font>
    <font>
      <b/>
      <sz val="12.0"/>
      <color rgb="FF122B49"/>
      <name val="Calibri"/>
    </font>
    <font>
      <b/>
      <sz val="11.0"/>
      <color rgb="FF122B49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8F0F8"/>
        <bgColor rgb="FFE8F0F8"/>
      </patternFill>
    </fill>
    <fill>
      <patternFill patternType="solid">
        <fgColor rgb="FFFFF3E0"/>
        <bgColor rgb="FFFFF3E0"/>
      </patternFill>
    </fill>
    <fill>
      <patternFill patternType="solid">
        <fgColor rgb="FFF5F5F5"/>
        <bgColor rgb="FFF5F5F5"/>
      </patternFill>
    </fill>
    <fill>
      <patternFill patternType="solid">
        <fgColor rgb="FF1B3A5C"/>
        <bgColor rgb="FF1B3A5C"/>
      </patternFill>
    </fill>
    <fill>
      <patternFill patternType="solid">
        <fgColor rgb="FF122B49"/>
        <bgColor rgb="FF122B49"/>
      </patternFill>
    </fill>
    <fill>
      <patternFill patternType="solid">
        <fgColor rgb="FFFDE9E9"/>
        <bgColor rgb="FFFDE9E9"/>
      </patternFill>
    </fill>
    <fill>
      <patternFill patternType="solid">
        <fgColor rgb="FF8B3A3A"/>
        <bgColor rgb="FF8B3A3A"/>
      </patternFill>
    </fill>
    <fill>
      <patternFill patternType="solid">
        <fgColor rgb="FF1B7A3D"/>
        <bgColor rgb="FF1B7A3D"/>
      </patternFill>
    </fill>
    <fill>
      <patternFill patternType="solid">
        <fgColor rgb="FFC0392B"/>
        <bgColor rgb="FFC0392B"/>
      </patternFill>
    </fill>
    <fill>
      <patternFill patternType="solid">
        <fgColor rgb="FFE8F5E9"/>
        <bgColor rgb="FFE8F5E9"/>
      </patternFill>
    </fill>
  </fills>
  <borders count="7">
    <border/>
    <border>
      <bottom style="medium">
        <color rgb="FF122B4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medium">
        <color rgb="FF122B49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0" fontId="4" numFmtId="0" xfId="0" applyBorder="1" applyFont="1"/>
    <xf borderId="2" fillId="2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center" vertical="center"/>
    </xf>
    <xf borderId="5" fillId="3" fontId="8" numFmtId="164" xfId="0" applyAlignment="1" applyBorder="1" applyFill="1" applyFont="1" applyNumberFormat="1">
      <alignment horizontal="center" vertical="center"/>
    </xf>
    <xf borderId="2" fillId="2" fontId="5" numFmtId="0" xfId="0" applyBorder="1" applyFont="1"/>
    <xf borderId="5" fillId="4" fontId="4" numFmtId="0" xfId="0" applyBorder="1" applyFill="1" applyFont="1"/>
    <xf borderId="5" fillId="4" fontId="9" numFmtId="164" xfId="0" applyAlignment="1" applyBorder="1" applyFont="1" applyNumberFormat="1">
      <alignment horizontal="right" vertical="center"/>
    </xf>
    <xf borderId="0" fillId="0" fontId="4" numFmtId="0" xfId="0" applyFont="1"/>
    <xf borderId="0" fillId="0" fontId="9" numFmtId="164" xfId="0" applyAlignment="1" applyFont="1" applyNumberFormat="1">
      <alignment horizontal="right" vertical="center"/>
    </xf>
    <xf borderId="5" fillId="4" fontId="9" numFmtId="165" xfId="0" applyAlignment="1" applyBorder="1" applyFont="1" applyNumberFormat="1">
      <alignment horizontal="right" vertical="center"/>
    </xf>
    <xf borderId="0" fillId="0" fontId="9" numFmtId="165" xfId="0" applyAlignment="1" applyFont="1" applyNumberFormat="1">
      <alignment horizontal="right" vertical="center"/>
    </xf>
    <xf borderId="5" fillId="5" fontId="10" numFmtId="0" xfId="0" applyAlignment="1" applyBorder="1" applyFill="1" applyFont="1">
      <alignment horizontal="left" vertical="center"/>
    </xf>
    <xf borderId="2" fillId="5" fontId="10" numFmtId="0" xfId="0" applyAlignment="1" applyBorder="1" applyFont="1">
      <alignment horizontal="left" vertical="center"/>
    </xf>
    <xf borderId="5" fillId="4" fontId="11" numFmtId="0" xfId="0" applyBorder="1" applyFont="1"/>
    <xf borderId="2" fillId="4" fontId="4" numFmtId="0" xfId="0" applyBorder="1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2" numFmtId="0" xfId="0" applyFont="1"/>
    <xf borderId="5" fillId="6" fontId="14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horizontal="left" vertical="center"/>
    </xf>
    <xf borderId="5" fillId="4" fontId="4" numFmtId="0" xfId="0" applyAlignment="1" applyBorder="1" applyFont="1">
      <alignment horizontal="center" vertical="center"/>
    </xf>
    <xf borderId="5" fillId="4" fontId="4" numFmtId="166" xfId="0" applyAlignment="1" applyBorder="1" applyFont="1" applyNumberFormat="1">
      <alignment horizontal="center" vertical="center"/>
    </xf>
    <xf borderId="5" fillId="4" fontId="12" numFmtId="0" xfId="0" applyBorder="1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6" fillId="3" fontId="15" numFmtId="0" xfId="0" applyBorder="1" applyFont="1"/>
    <xf borderId="6" fillId="3" fontId="4" numFmtId="0" xfId="0" applyBorder="1" applyFont="1"/>
    <xf borderId="6" fillId="3" fontId="15" numFmtId="164" xfId="0" applyBorder="1" applyFont="1" applyNumberFormat="1"/>
    <xf borderId="5" fillId="4" fontId="9" numFmtId="0" xfId="0" applyAlignment="1" applyBorder="1" applyFont="1">
      <alignment horizontal="right" vertical="center"/>
    </xf>
    <xf borderId="5" fillId="6" fontId="16" numFmtId="0" xfId="0" applyBorder="1" applyFont="1"/>
    <xf borderId="5" fillId="6" fontId="4" numFmtId="0" xfId="0" applyBorder="1" applyFont="1"/>
    <xf borderId="5" fillId="6" fontId="16" numFmtId="164" xfId="0" applyBorder="1" applyFont="1" applyNumberFormat="1"/>
    <xf borderId="5" fillId="4" fontId="4" numFmtId="164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2" fillId="7" fontId="5" numFmtId="0" xfId="0" applyBorder="1" applyFill="1" applyFont="1"/>
    <xf borderId="5" fillId="8" fontId="14" numFmtId="0" xfId="0" applyAlignment="1" applyBorder="1" applyFill="1" applyFont="1">
      <alignment horizontal="center" vertical="center"/>
    </xf>
    <xf borderId="5" fillId="7" fontId="4" numFmtId="0" xfId="0" applyBorder="1" applyFont="1"/>
    <xf borderId="5" fillId="7" fontId="17" numFmtId="164" xfId="0" applyAlignment="1" applyBorder="1" applyFont="1" applyNumberFormat="1">
      <alignment horizontal="right" vertical="center"/>
    </xf>
    <xf borderId="5" fillId="7" fontId="4" numFmtId="0" xfId="0" applyAlignment="1" applyBorder="1" applyFont="1">
      <alignment horizontal="center" vertical="center"/>
    </xf>
    <xf borderId="5" fillId="7" fontId="12" numFmtId="0" xfId="0" applyAlignment="1" applyBorder="1" applyFont="1">
      <alignment horizontal="center" vertical="center"/>
    </xf>
    <xf borderId="5" fillId="7" fontId="12" numFmtId="0" xfId="0" applyBorder="1" applyFont="1"/>
    <xf borderId="2" fillId="9" fontId="16" numFmtId="0" xfId="0" applyBorder="1" applyFill="1" applyFont="1"/>
    <xf borderId="2" fillId="10" fontId="16" numFmtId="0" xfId="0" applyBorder="1" applyFill="1" applyFont="1"/>
    <xf borderId="5" fillId="2" fontId="5" numFmtId="0" xfId="0" applyBorder="1" applyFont="1"/>
    <xf borderId="5" fillId="2" fontId="4" numFmtId="0" xfId="0" applyBorder="1" applyFont="1"/>
    <xf borderId="5" fillId="7" fontId="5" numFmtId="0" xfId="0" applyBorder="1" applyFont="1"/>
    <xf borderId="5" fillId="10" fontId="16" numFmtId="0" xfId="0" applyBorder="1" applyFont="1"/>
    <xf borderId="5" fillId="10" fontId="16" numFmtId="164" xfId="0" applyBorder="1" applyFont="1" applyNumberFormat="1"/>
    <xf borderId="0" fillId="0" fontId="4" numFmtId="166" xfId="0" applyAlignment="1" applyFont="1" applyNumberFormat="1">
      <alignment horizontal="right" vertical="center"/>
    </xf>
    <xf borderId="5" fillId="4" fontId="4" numFmtId="166" xfId="0" applyAlignment="1" applyBorder="1" applyFont="1" applyNumberFormat="1">
      <alignment horizontal="right" vertical="center"/>
    </xf>
    <xf borderId="5" fillId="9" fontId="18" numFmtId="0" xfId="0" applyBorder="1" applyFont="1"/>
    <xf borderId="5" fillId="9" fontId="18" numFmtId="164" xfId="0" applyBorder="1" applyFont="1" applyNumberFormat="1"/>
    <xf borderId="5" fillId="6" fontId="18" numFmtId="0" xfId="0" applyBorder="1" applyFont="1"/>
    <xf borderId="5" fillId="6" fontId="18" numFmtId="164" xfId="0" applyBorder="1" applyFont="1" applyNumberFormat="1"/>
    <xf borderId="6" fillId="3" fontId="15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0" fillId="0" fontId="13" numFmtId="164" xfId="0" applyFont="1" applyNumberFormat="1"/>
    <xf borderId="6" fillId="3" fontId="11" numFmtId="0" xfId="0" applyBorder="1" applyFont="1"/>
    <xf borderId="6" fillId="3" fontId="4" numFmtId="164" xfId="0" applyAlignment="1" applyBorder="1" applyFont="1" applyNumberFormat="1">
      <alignment horizontal="right" vertical="center"/>
    </xf>
    <xf borderId="5" fillId="11" fontId="19" numFmtId="0" xfId="0" applyBorder="1" applyFill="1" applyFont="1"/>
    <xf borderId="5" fillId="11" fontId="4" numFmtId="0" xfId="0" applyBorder="1" applyFont="1"/>
    <xf borderId="5" fillId="11" fontId="19" numFmtId="164" xfId="0" applyAlignment="1" applyBorder="1" applyFont="1" applyNumberFormat="1">
      <alignment horizontal="right" vertical="center"/>
    </xf>
    <xf borderId="5" fillId="11" fontId="5" numFmtId="0" xfId="0" applyBorder="1" applyFont="1"/>
    <xf borderId="6" fillId="11" fontId="15" numFmtId="0" xfId="0" applyBorder="1" applyFont="1"/>
    <xf borderId="6" fillId="11" fontId="4" numFmtId="0" xfId="0" applyBorder="1" applyFont="1"/>
    <xf borderId="6" fillId="11" fontId="15" numFmtId="164" xfId="0" applyBorder="1" applyFont="1" applyNumberFormat="1"/>
    <xf borderId="6" fillId="7" fontId="15" numFmtId="0" xfId="0" applyBorder="1" applyFont="1"/>
    <xf borderId="6" fillId="7" fontId="4" numFmtId="0" xfId="0" applyBorder="1" applyFont="1"/>
    <xf borderId="6" fillId="7" fontId="15" numFmtId="164" xfId="0" applyBorder="1" applyFont="1" applyNumberFormat="1"/>
    <xf borderId="5" fillId="11" fontId="11" numFmtId="0" xfId="0" applyBorder="1" applyFont="1"/>
    <xf borderId="5" fillId="11" fontId="2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6" width="30.0"/>
    <col customWidth="1" min="7" max="26" width="8.71"/>
  </cols>
  <sheetData>
    <row r="1" ht="14.25" customHeight="1"/>
    <row r="2" ht="39.75" customHeight="1">
      <c r="B2" s="1" t="s">
        <v>0</v>
      </c>
    </row>
    <row r="3" ht="14.25" customHeight="1">
      <c r="B3" s="2" t="s">
        <v>1</v>
      </c>
    </row>
    <row r="4" ht="14.25" customHeight="1">
      <c r="B4" s="3" t="s">
        <v>2</v>
      </c>
    </row>
    <row r="5" ht="14.25" customHeight="1">
      <c r="B5" s="4"/>
      <c r="C5" s="4"/>
      <c r="D5" s="4"/>
      <c r="E5" s="4"/>
      <c r="F5" s="4"/>
    </row>
    <row r="6" ht="14.25" customHeight="1"/>
    <row r="7" ht="24.75" customHeight="1">
      <c r="B7" s="5" t="s">
        <v>3</v>
      </c>
      <c r="C7" s="6"/>
      <c r="D7" s="6"/>
      <c r="E7" s="6"/>
      <c r="F7" s="7"/>
    </row>
    <row r="8" ht="14.25" customHeight="1"/>
    <row r="9" ht="19.5" customHeight="1">
      <c r="B9" s="8" t="s">
        <v>4</v>
      </c>
      <c r="C9" s="8" t="s">
        <v>5</v>
      </c>
      <c r="D9" s="8" t="s">
        <v>6</v>
      </c>
      <c r="E9" s="8" t="s">
        <v>7</v>
      </c>
      <c r="F9" s="8" t="s">
        <v>8</v>
      </c>
    </row>
    <row r="10" ht="30.0" customHeight="1">
      <c r="B10" s="9">
        <f>Assets!D25</f>
        <v>39905750</v>
      </c>
      <c r="C10" s="9">
        <f>Liabilities!C15</f>
        <v>13640734</v>
      </c>
      <c r="D10" s="9">
        <f>B10-C10</f>
        <v>26265016</v>
      </c>
      <c r="E10" s="9">
        <f>'Cash Flow'!D22</f>
        <v>66206.08333</v>
      </c>
      <c r="F10" s="9">
        <f>'Cash Flow'!E22</f>
        <v>794473</v>
      </c>
    </row>
    <row r="11" ht="14.25" customHeight="1"/>
    <row r="12" ht="21.75" customHeight="1">
      <c r="B12" s="10" t="s">
        <v>9</v>
      </c>
      <c r="C12" s="6"/>
      <c r="D12" s="6"/>
      <c r="E12" s="6"/>
      <c r="F12" s="7"/>
    </row>
    <row r="13" ht="14.25" customHeight="1"/>
    <row r="14" ht="14.25" customHeight="1">
      <c r="B14" s="11" t="s">
        <v>10</v>
      </c>
      <c r="C14" s="11"/>
      <c r="D14" s="11"/>
      <c r="E14" s="12">
        <f>Assets!D14</f>
        <v>18005750</v>
      </c>
    </row>
    <row r="15" ht="14.25" customHeight="1">
      <c r="B15" s="13" t="s">
        <v>11</v>
      </c>
      <c r="E15" s="14">
        <f>Assets!D23</f>
        <v>21900000</v>
      </c>
    </row>
    <row r="16" ht="14.25" customHeight="1">
      <c r="B16" s="11" t="s">
        <v>12</v>
      </c>
      <c r="C16" s="11"/>
      <c r="D16" s="11"/>
      <c r="E16" s="12">
        <f>'Income Statement'!D12</f>
        <v>391441.0833</v>
      </c>
    </row>
    <row r="17" ht="14.25" customHeight="1">
      <c r="B17" s="13" t="s">
        <v>13</v>
      </c>
      <c r="E17" s="14">
        <f>'Cash Flow'!D19</f>
        <v>325235</v>
      </c>
    </row>
    <row r="18" ht="14.25" customHeight="1">
      <c r="B18" s="11" t="s">
        <v>14</v>
      </c>
      <c r="C18" s="11"/>
      <c r="D18" s="11"/>
      <c r="E18" s="15">
        <f>C10/B10</f>
        <v>0.3418237723</v>
      </c>
    </row>
    <row r="19" ht="14.25" customHeight="1">
      <c r="B19" s="13" t="s">
        <v>15</v>
      </c>
      <c r="E19" s="16">
        <f>E14/E17</f>
        <v>55.36227651</v>
      </c>
    </row>
    <row r="20" ht="14.25" customHeight="1"/>
    <row r="21" ht="14.25" customHeight="1"/>
    <row r="22" ht="21.75" customHeight="1">
      <c r="B22" s="10" t="s">
        <v>16</v>
      </c>
      <c r="C22" s="6"/>
      <c r="D22" s="6"/>
      <c r="E22" s="6"/>
      <c r="F22" s="7"/>
    </row>
    <row r="23" ht="14.25" customHeight="1"/>
    <row r="24" ht="14.25" customHeight="1">
      <c r="B24" s="17" t="s">
        <v>17</v>
      </c>
      <c r="C24" s="18" t="s">
        <v>18</v>
      </c>
      <c r="D24" s="6"/>
      <c r="E24" s="6"/>
      <c r="F24" s="7"/>
    </row>
    <row r="25" ht="14.25" customHeight="1">
      <c r="B25" s="19" t="s">
        <v>19</v>
      </c>
      <c r="C25" s="20" t="s">
        <v>20</v>
      </c>
      <c r="D25" s="6"/>
      <c r="E25" s="6"/>
      <c r="F25" s="7"/>
    </row>
    <row r="26" ht="14.25" customHeight="1">
      <c r="B26" s="21" t="s">
        <v>21</v>
      </c>
      <c r="C26" s="13" t="s">
        <v>22</v>
      </c>
    </row>
    <row r="27" ht="14.25" customHeight="1">
      <c r="B27" s="19" t="s">
        <v>23</v>
      </c>
      <c r="C27" s="20" t="s">
        <v>24</v>
      </c>
      <c r="D27" s="6"/>
      <c r="E27" s="6"/>
      <c r="F27" s="7"/>
    </row>
    <row r="28" ht="14.25" customHeight="1">
      <c r="B28" s="21" t="s">
        <v>25</v>
      </c>
      <c r="C28" s="13" t="s">
        <v>26</v>
      </c>
    </row>
    <row r="29" ht="14.25" customHeight="1">
      <c r="B29" s="19" t="s">
        <v>27</v>
      </c>
      <c r="C29" s="20" t="s">
        <v>28</v>
      </c>
      <c r="D29" s="6"/>
      <c r="E29" s="6"/>
      <c r="F29" s="7"/>
    </row>
    <row r="30" ht="14.25" customHeight="1">
      <c r="B30" s="21" t="s">
        <v>29</v>
      </c>
      <c r="C30" s="13" t="s">
        <v>30</v>
      </c>
    </row>
    <row r="31" ht="14.25" customHeight="1"/>
    <row r="32" ht="14.25" customHeight="1"/>
    <row r="33" ht="21.75" customHeight="1">
      <c r="B33" s="10" t="s">
        <v>31</v>
      </c>
      <c r="C33" s="6"/>
      <c r="D33" s="6"/>
      <c r="E33" s="6"/>
      <c r="F33" s="7"/>
    </row>
    <row r="34" ht="14.25" customHeight="1"/>
    <row r="35" ht="14.25" customHeight="1">
      <c r="B35" s="22" t="s">
        <v>32</v>
      </c>
    </row>
    <row r="36" ht="14.25" customHeight="1">
      <c r="B36" s="22" t="s">
        <v>33</v>
      </c>
    </row>
    <row r="37" ht="14.25" customHeight="1">
      <c r="B37" s="22" t="s">
        <v>34</v>
      </c>
    </row>
    <row r="38" ht="14.25" customHeight="1">
      <c r="B38" s="22" t="s">
        <v>35</v>
      </c>
    </row>
    <row r="39" ht="14.25" customHeight="1">
      <c r="B39" s="22" t="s">
        <v>36</v>
      </c>
    </row>
    <row r="40" ht="14.25" customHeight="1">
      <c r="B40" s="22" t="s">
        <v>37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2:F2"/>
    <mergeCell ref="B3:F3"/>
    <mergeCell ref="B4:F4"/>
    <mergeCell ref="B7:F7"/>
    <mergeCell ref="B12:F12"/>
    <mergeCell ref="B22:F22"/>
    <mergeCell ref="C24:F24"/>
    <mergeCell ref="B35:F35"/>
    <mergeCell ref="B36:F36"/>
    <mergeCell ref="B37:F37"/>
    <mergeCell ref="B38:F38"/>
    <mergeCell ref="B39:F39"/>
    <mergeCell ref="B40:F40"/>
    <mergeCell ref="C25:F25"/>
    <mergeCell ref="C26:F26"/>
    <mergeCell ref="C27:F27"/>
    <mergeCell ref="C28:F28"/>
    <mergeCell ref="C29:F29"/>
    <mergeCell ref="C30:F30"/>
    <mergeCell ref="B33:F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0.0"/>
    <col customWidth="1" min="4" max="5" width="22.0"/>
    <col customWidth="1" min="6" max="6" width="48.43"/>
    <col customWidth="1" min="7" max="26" width="8.71"/>
  </cols>
  <sheetData>
    <row r="1" ht="14.25" customHeight="1"/>
    <row r="2" ht="34.5" customHeight="1">
      <c r="B2" s="1" t="s">
        <v>38</v>
      </c>
      <c r="H2" s="23"/>
    </row>
    <row r="3" ht="14.25" customHeight="1">
      <c r="B3" s="24" t="s">
        <v>39</v>
      </c>
    </row>
    <row r="4" ht="14.25" customHeight="1"/>
    <row r="5" ht="19.5" customHeight="1">
      <c r="B5" s="10" t="s">
        <v>40</v>
      </c>
      <c r="C5" s="6"/>
      <c r="D5" s="6"/>
      <c r="E5" s="6"/>
      <c r="F5" s="7"/>
    </row>
    <row r="6" ht="19.5" customHeight="1">
      <c r="B6" s="25" t="s">
        <v>41</v>
      </c>
      <c r="C6" s="25" t="s">
        <v>42</v>
      </c>
      <c r="D6" s="25" t="s">
        <v>43</v>
      </c>
      <c r="E6" s="25" t="s">
        <v>44</v>
      </c>
      <c r="F6" s="25" t="s">
        <v>45</v>
      </c>
    </row>
    <row r="7" ht="19.5" customHeight="1">
      <c r="B7" s="26" t="s">
        <v>46</v>
      </c>
      <c r="C7" s="27" t="s">
        <v>47</v>
      </c>
      <c r="D7" s="12">
        <v>1000000.0</v>
      </c>
      <c r="E7" s="28">
        <f>D7/D25</f>
        <v>0.02505904538</v>
      </c>
      <c r="F7" s="29" t="s">
        <v>48</v>
      </c>
    </row>
    <row r="8" ht="19.5" customHeight="1">
      <c r="B8" s="30" t="s">
        <v>49</v>
      </c>
      <c r="C8" s="31" t="s">
        <v>50</v>
      </c>
      <c r="D8" s="14">
        <v>1237200.0</v>
      </c>
      <c r="E8" s="32">
        <f>D8/D25</f>
        <v>0.03100305094</v>
      </c>
      <c r="F8" s="22" t="s">
        <v>51</v>
      </c>
    </row>
    <row r="9" ht="19.5" customHeight="1">
      <c r="B9" s="26" t="s">
        <v>52</v>
      </c>
      <c r="C9" s="27" t="s">
        <v>53</v>
      </c>
      <c r="D9" s="12">
        <v>927900.0</v>
      </c>
      <c r="E9" s="28">
        <f>D9/D25</f>
        <v>0.0232522882</v>
      </c>
      <c r="F9" s="29" t="s">
        <v>54</v>
      </c>
    </row>
    <row r="10" ht="19.5" customHeight="1">
      <c r="B10" s="30" t="s">
        <v>55</v>
      </c>
      <c r="C10" s="31" t="s">
        <v>53</v>
      </c>
      <c r="D10" s="14">
        <v>927900.0</v>
      </c>
      <c r="E10" s="32">
        <f>D10/D25</f>
        <v>0.0232522882</v>
      </c>
      <c r="F10" s="22" t="s">
        <v>54</v>
      </c>
    </row>
    <row r="11" ht="19.5" customHeight="1">
      <c r="B11" s="26" t="s">
        <v>56</v>
      </c>
      <c r="C11" s="27" t="s">
        <v>57</v>
      </c>
      <c r="D11" s="12">
        <v>3500000.0</v>
      </c>
      <c r="E11" s="28">
        <f>D11/D25</f>
        <v>0.08770665881</v>
      </c>
      <c r="F11" s="29" t="s">
        <v>58</v>
      </c>
    </row>
    <row r="12" ht="19.5" customHeight="1">
      <c r="B12" s="30" t="s">
        <v>59</v>
      </c>
      <c r="C12" s="31" t="s">
        <v>60</v>
      </c>
      <c r="D12" s="14">
        <v>5412750.0</v>
      </c>
      <c r="E12" s="32">
        <f>D12/D25</f>
        <v>0.1356383479</v>
      </c>
      <c r="F12" s="22" t="s">
        <v>61</v>
      </c>
    </row>
    <row r="13" ht="19.5" customHeight="1">
      <c r="B13" s="26" t="s">
        <v>62</v>
      </c>
      <c r="C13" s="27" t="s">
        <v>63</v>
      </c>
      <c r="D13" s="12">
        <v>5000000.0</v>
      </c>
      <c r="E13" s="28">
        <f>D13/D25</f>
        <v>0.1252952269</v>
      </c>
      <c r="F13" s="29" t="s">
        <v>64</v>
      </c>
    </row>
    <row r="14" ht="19.5" customHeight="1">
      <c r="B14" s="33" t="s">
        <v>65</v>
      </c>
      <c r="C14" s="34"/>
      <c r="D14" s="35">
        <f>SUM(D7:D13)</f>
        <v>18005750</v>
      </c>
      <c r="E14" s="34"/>
      <c r="F14" s="34"/>
    </row>
    <row r="15" ht="19.5" customHeight="1"/>
    <row r="16" ht="19.5" customHeight="1">
      <c r="B16" s="10" t="s">
        <v>66</v>
      </c>
      <c r="C16" s="6"/>
      <c r="D16" s="6"/>
      <c r="E16" s="6"/>
      <c r="F16" s="7"/>
    </row>
    <row r="17" ht="19.5" customHeight="1">
      <c r="B17" s="25" t="s">
        <v>67</v>
      </c>
      <c r="C17" s="25" t="s">
        <v>68</v>
      </c>
      <c r="D17" s="25" t="s">
        <v>69</v>
      </c>
      <c r="E17" s="25" t="s">
        <v>44</v>
      </c>
      <c r="F17" s="25" t="s">
        <v>70</v>
      </c>
    </row>
    <row r="18" ht="19.5" customHeight="1">
      <c r="B18" s="11" t="s">
        <v>71</v>
      </c>
      <c r="C18" s="27" t="s">
        <v>72</v>
      </c>
      <c r="D18" s="12">
        <f>'Income Statement'!F8 / 0.035</f>
        <v>8400000</v>
      </c>
      <c r="E18" s="28">
        <f>D18/D25</f>
        <v>0.2104959812</v>
      </c>
      <c r="F18" s="29" t="s">
        <v>73</v>
      </c>
    </row>
    <row r="19" ht="19.5" customHeight="1">
      <c r="B19" s="13" t="s">
        <v>74</v>
      </c>
      <c r="C19" s="31" t="s">
        <v>75</v>
      </c>
      <c r="D19" s="14">
        <v>5000000.0</v>
      </c>
      <c r="E19" s="32">
        <f>D19/D25</f>
        <v>0.1252952269</v>
      </c>
      <c r="F19" s="22" t="s">
        <v>76</v>
      </c>
    </row>
    <row r="20" ht="19.5" customHeight="1">
      <c r="B20" s="11" t="s">
        <v>77</v>
      </c>
      <c r="C20" s="27" t="s">
        <v>75</v>
      </c>
      <c r="D20" s="12">
        <v>5000000.0</v>
      </c>
      <c r="E20" s="28">
        <f>D20/D25</f>
        <v>0.1252952269</v>
      </c>
      <c r="F20" s="29" t="s">
        <v>76</v>
      </c>
    </row>
    <row r="21" ht="19.5" customHeight="1">
      <c r="B21" s="13" t="s">
        <v>78</v>
      </c>
      <c r="C21" s="31" t="s">
        <v>79</v>
      </c>
      <c r="D21" s="14">
        <v>3500000.0</v>
      </c>
      <c r="E21" s="32">
        <f>D21/D25</f>
        <v>0.08770665881</v>
      </c>
      <c r="F21" s="22" t="s">
        <v>76</v>
      </c>
    </row>
    <row r="22" ht="19.5" customHeight="1">
      <c r="B22" s="11" t="s">
        <v>80</v>
      </c>
      <c r="C22" s="27" t="s">
        <v>81</v>
      </c>
      <c r="D22" s="36" t="s">
        <v>82</v>
      </c>
      <c r="E22" s="27" t="s">
        <v>82</v>
      </c>
      <c r="F22" s="29" t="s">
        <v>83</v>
      </c>
    </row>
    <row r="23" ht="19.5" customHeight="1">
      <c r="B23" s="33" t="s">
        <v>84</v>
      </c>
      <c r="C23" s="34"/>
      <c r="D23" s="35">
        <f>SUM(D18:D22)</f>
        <v>21900000</v>
      </c>
      <c r="E23" s="34"/>
      <c r="F23" s="34"/>
    </row>
    <row r="24" ht="19.5" customHeight="1"/>
    <row r="25" ht="19.5" customHeight="1">
      <c r="B25" s="37" t="s">
        <v>85</v>
      </c>
      <c r="C25" s="38"/>
      <c r="D25" s="39">
        <f>D14+D23</f>
        <v>39905750</v>
      </c>
      <c r="E25" s="38"/>
      <c r="F25" s="3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F2"/>
    <mergeCell ref="B3:F3"/>
    <mergeCell ref="B5:F5"/>
    <mergeCell ref="B16:F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18.0"/>
    <col customWidth="1" min="5" max="5" width="16.0"/>
    <col customWidth="1" min="6" max="6" width="18.0"/>
    <col customWidth="1" min="7" max="7" width="33.0"/>
    <col customWidth="1" min="8" max="26" width="8.71"/>
  </cols>
  <sheetData>
    <row r="1" ht="14.25" customHeight="1"/>
    <row r="2" ht="34.5" customHeight="1">
      <c r="B2" s="1" t="s">
        <v>86</v>
      </c>
    </row>
    <row r="3" ht="14.25" customHeight="1">
      <c r="B3" s="24" t="s">
        <v>39</v>
      </c>
    </row>
    <row r="4" ht="14.25" customHeight="1"/>
    <row r="5" ht="24.75" customHeight="1">
      <c r="B5" s="10" t="s">
        <v>87</v>
      </c>
      <c r="C5" s="6"/>
      <c r="D5" s="6"/>
      <c r="E5" s="6"/>
      <c r="F5" s="6"/>
      <c r="G5" s="7"/>
    </row>
    <row r="6" ht="14.25" customHeight="1">
      <c r="B6" s="25" t="s">
        <v>88</v>
      </c>
      <c r="C6" s="25" t="s">
        <v>89</v>
      </c>
      <c r="D6" s="25" t="s">
        <v>90</v>
      </c>
      <c r="E6" s="25" t="s">
        <v>91</v>
      </c>
      <c r="F6" s="25" t="s">
        <v>92</v>
      </c>
      <c r="G6" s="25" t="s">
        <v>93</v>
      </c>
    </row>
    <row r="7" ht="14.25" customHeight="1">
      <c r="B7" s="11" t="s">
        <v>94</v>
      </c>
      <c r="C7" s="12">
        <v>600000.0</v>
      </c>
      <c r="D7" s="12">
        <v>31400.0</v>
      </c>
      <c r="E7" s="27" t="s">
        <v>95</v>
      </c>
      <c r="F7" s="40">
        <v>376800.0</v>
      </c>
      <c r="G7" s="29" t="s">
        <v>96</v>
      </c>
    </row>
    <row r="8" ht="14.25" customHeight="1">
      <c r="B8" s="13" t="s">
        <v>97</v>
      </c>
      <c r="C8" s="14">
        <v>7540734.0</v>
      </c>
      <c r="D8" s="14">
        <v>159289.5</v>
      </c>
      <c r="E8" s="31" t="s">
        <v>98</v>
      </c>
      <c r="F8" s="41">
        <v>7645896.0</v>
      </c>
      <c r="G8" s="22" t="s">
        <v>99</v>
      </c>
    </row>
    <row r="9" ht="14.25" customHeight="1">
      <c r="B9" s="33" t="s">
        <v>100</v>
      </c>
      <c r="C9" s="35">
        <f t="shared" ref="C9:D9" si="1">SUM(C7:C8)</f>
        <v>8140734</v>
      </c>
      <c r="D9" s="35">
        <f t="shared" si="1"/>
        <v>190689.5</v>
      </c>
      <c r="E9" s="34"/>
      <c r="F9" s="35">
        <f>SUM(F7:F8)</f>
        <v>8022696</v>
      </c>
      <c r="G9" s="34"/>
    </row>
    <row r="10" ht="14.25" customHeight="1"/>
    <row r="11" ht="24.75" customHeight="1">
      <c r="B11" s="42" t="s">
        <v>101</v>
      </c>
      <c r="C11" s="6"/>
      <c r="D11" s="6"/>
      <c r="E11" s="6"/>
      <c r="F11" s="6"/>
      <c r="G11" s="7"/>
    </row>
    <row r="12" ht="14.25" customHeight="1">
      <c r="B12" s="43" t="s">
        <v>102</v>
      </c>
      <c r="C12" s="43" t="s">
        <v>103</v>
      </c>
      <c r="D12" s="43" t="s">
        <v>104</v>
      </c>
      <c r="E12" s="43" t="s">
        <v>105</v>
      </c>
      <c r="F12" s="43" t="s">
        <v>106</v>
      </c>
      <c r="G12" s="43" t="s">
        <v>45</v>
      </c>
    </row>
    <row r="13" ht="14.25" customHeight="1">
      <c r="B13" s="44" t="s">
        <v>107</v>
      </c>
      <c r="C13" s="45">
        <v>5500000.0</v>
      </c>
      <c r="D13" s="46" t="s">
        <v>108</v>
      </c>
      <c r="E13" s="47" t="s">
        <v>109</v>
      </c>
      <c r="F13" s="47" t="s">
        <v>110</v>
      </c>
      <c r="G13" s="48" t="s">
        <v>111</v>
      </c>
    </row>
    <row r="14" ht="14.25" customHeight="1"/>
    <row r="15" ht="14.25" customHeight="1">
      <c r="B15" s="37" t="s">
        <v>112</v>
      </c>
      <c r="C15" s="39">
        <f>C9+C13</f>
        <v>13640734</v>
      </c>
      <c r="D15" s="39">
        <f>D9</f>
        <v>190689.5</v>
      </c>
      <c r="E15" s="38"/>
      <c r="F15" s="38"/>
      <c r="G15" s="38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G2"/>
    <mergeCell ref="B3:G3"/>
    <mergeCell ref="B5:G5"/>
    <mergeCell ref="B11:G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22.0"/>
    <col customWidth="1" min="4" max="4" width="5.0"/>
    <col customWidth="1" min="5" max="5" width="42.0"/>
    <col customWidth="1" min="6" max="6" width="22.0"/>
    <col customWidth="1" min="7" max="26" width="8.71"/>
  </cols>
  <sheetData>
    <row r="1" ht="14.25" customHeight="1"/>
    <row r="2" ht="34.5" customHeight="1">
      <c r="B2" s="1" t="s">
        <v>113</v>
      </c>
    </row>
    <row r="3" ht="14.25" customHeight="1">
      <c r="B3" s="24" t="s">
        <v>114</v>
      </c>
    </row>
    <row r="4" ht="14.25" customHeight="1"/>
    <row r="5" ht="19.5" customHeight="1">
      <c r="B5" s="49" t="s">
        <v>115</v>
      </c>
      <c r="C5" s="7"/>
      <c r="E5" s="50" t="s">
        <v>116</v>
      </c>
      <c r="F5" s="7"/>
    </row>
    <row r="6" ht="19.5" customHeight="1"/>
    <row r="7" ht="19.5" customHeight="1">
      <c r="B7" s="51" t="s">
        <v>117</v>
      </c>
      <c r="C7" s="52"/>
      <c r="E7" s="53" t="s">
        <v>118</v>
      </c>
      <c r="F7" s="44"/>
    </row>
    <row r="8" ht="19.5" customHeight="1">
      <c r="B8" s="11" t="s">
        <v>119</v>
      </c>
      <c r="C8" s="12">
        <f>Assets!D7</f>
        <v>1000000</v>
      </c>
      <c r="E8" s="11" t="s">
        <v>120</v>
      </c>
      <c r="F8" s="12">
        <f>Liabilities!C7</f>
        <v>600000</v>
      </c>
    </row>
    <row r="9" ht="19.5" customHeight="1">
      <c r="B9" s="13" t="s">
        <v>49</v>
      </c>
      <c r="C9" s="14">
        <f>Assets!D8</f>
        <v>1237200</v>
      </c>
      <c r="E9" s="13" t="s">
        <v>121</v>
      </c>
      <c r="F9" s="14">
        <f>Liabilities!C8</f>
        <v>7540734</v>
      </c>
    </row>
    <row r="10" ht="19.5" customHeight="1"/>
    <row r="11" ht="19.5" customHeight="1"/>
    <row r="12" ht="19.5" customHeight="1"/>
    <row r="13" ht="19.5" customHeight="1"/>
    <row r="14" ht="19.5" customHeight="1"/>
    <row r="15" ht="19.5" customHeight="1">
      <c r="B15" s="33" t="s">
        <v>122</v>
      </c>
      <c r="C15" s="35">
        <f>SUM(C8:C14)</f>
        <v>2237200</v>
      </c>
      <c r="E15" s="53" t="s">
        <v>123</v>
      </c>
      <c r="F15" s="44"/>
    </row>
    <row r="16" ht="19.5" customHeight="1">
      <c r="E16" s="44" t="s">
        <v>107</v>
      </c>
      <c r="F16" s="45">
        <f>Liabilities!C13</f>
        <v>5500000</v>
      </c>
    </row>
    <row r="17" ht="19.5" customHeight="1">
      <c r="E17" s="33" t="s">
        <v>124</v>
      </c>
      <c r="F17" s="35">
        <f>F16</f>
        <v>5500000</v>
      </c>
    </row>
    <row r="18" ht="19.5" customHeight="1">
      <c r="E18" s="54" t="s">
        <v>112</v>
      </c>
      <c r="F18" s="55">
        <f>SUM(F8:F9)+F16</f>
        <v>13640734</v>
      </c>
    </row>
    <row r="19" ht="19.5" customHeight="1">
      <c r="B19" s="51" t="s">
        <v>125</v>
      </c>
      <c r="C19" s="52"/>
    </row>
    <row r="20" ht="19.5" customHeight="1">
      <c r="B20" s="11" t="s">
        <v>126</v>
      </c>
      <c r="C20" s="12">
        <f>Assets!D18</f>
        <v>8400000</v>
      </c>
      <c r="E20" s="51" t="s">
        <v>127</v>
      </c>
      <c r="F20" s="52"/>
    </row>
    <row r="21" ht="19.5" customHeight="1">
      <c r="B21" s="11" t="s">
        <v>128</v>
      </c>
      <c r="C21" s="12">
        <f>Assets!D19</f>
        <v>5000000</v>
      </c>
      <c r="E21" s="13" t="s">
        <v>14</v>
      </c>
      <c r="F21" s="56">
        <f>F18/C26</f>
        <v>0.5651332383</v>
      </c>
    </row>
    <row r="22" ht="19.5" customHeight="1">
      <c r="B22" s="13" t="s">
        <v>129</v>
      </c>
      <c r="C22" s="12">
        <f>Assets!D20</f>
        <v>5000000</v>
      </c>
      <c r="E22" s="11" t="s">
        <v>130</v>
      </c>
      <c r="F22" s="57">
        <f>C15/C26</f>
        <v>0.09268680709</v>
      </c>
    </row>
    <row r="23" ht="19.5" customHeight="1">
      <c r="B23" s="11" t="s">
        <v>131</v>
      </c>
      <c r="C23" s="12">
        <f>Assets!D21</f>
        <v>3500000</v>
      </c>
      <c r="E23" s="13" t="s">
        <v>132</v>
      </c>
      <c r="F23" s="56">
        <f>C24/C26</f>
        <v>0.9073131929</v>
      </c>
    </row>
    <row r="24" ht="19.5" customHeight="1">
      <c r="B24" s="33" t="s">
        <v>133</v>
      </c>
      <c r="C24" s="35">
        <f>SUM(C20:C23)</f>
        <v>21900000</v>
      </c>
      <c r="E24" s="11" t="s">
        <v>134</v>
      </c>
      <c r="F24" s="57">
        <f>C28/C26</f>
        <v>0.4348667617</v>
      </c>
    </row>
    <row r="25" ht="19.5" customHeight="1"/>
    <row r="26" ht="19.5" customHeight="1">
      <c r="B26" s="58" t="s">
        <v>85</v>
      </c>
      <c r="C26" s="59">
        <f>C15+C24</f>
        <v>24137200</v>
      </c>
    </row>
    <row r="27" ht="19.5" customHeight="1"/>
    <row r="28" ht="19.5" customHeight="1">
      <c r="B28" s="60" t="s">
        <v>135</v>
      </c>
      <c r="C28" s="61">
        <f>C26-F18</f>
        <v>10496466</v>
      </c>
    </row>
    <row r="29" ht="19.5" customHeight="1"/>
    <row r="30" ht="19.5" customHeight="1"/>
    <row r="31" ht="19.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F2"/>
    <mergeCell ref="B3:F3"/>
    <mergeCell ref="B5:C5"/>
    <mergeCell ref="E5:F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22.0"/>
    <col customWidth="1" min="6" max="6" width="35.0"/>
    <col customWidth="1" min="7" max="7" width="36.57"/>
    <col customWidth="1" min="8" max="26" width="8.71"/>
  </cols>
  <sheetData>
    <row r="1" ht="14.25" customHeight="1"/>
    <row r="2" ht="34.5" customHeight="1">
      <c r="B2" s="1" t="s">
        <v>136</v>
      </c>
    </row>
    <row r="3" ht="14.25" customHeight="1">
      <c r="B3" s="24" t="s">
        <v>137</v>
      </c>
    </row>
    <row r="4" ht="14.25" customHeight="1"/>
    <row r="5" ht="19.5" customHeight="1">
      <c r="B5" s="10" t="s">
        <v>138</v>
      </c>
      <c r="C5" s="6"/>
      <c r="D5" s="6"/>
      <c r="E5" s="6"/>
      <c r="F5" s="7"/>
    </row>
    <row r="6" ht="19.5" customHeight="1">
      <c r="B6" s="25" t="s">
        <v>139</v>
      </c>
      <c r="C6" s="25" t="s">
        <v>42</v>
      </c>
      <c r="D6" s="25" t="s">
        <v>140</v>
      </c>
      <c r="E6" s="25" t="s">
        <v>44</v>
      </c>
      <c r="F6" s="25" t="s">
        <v>141</v>
      </c>
      <c r="G6" s="25" t="s">
        <v>45</v>
      </c>
    </row>
    <row r="7" ht="19.5" customHeight="1">
      <c r="B7" s="11" t="s">
        <v>142</v>
      </c>
      <c r="C7" s="27" t="s">
        <v>143</v>
      </c>
      <c r="D7" s="12">
        <v>355695.0</v>
      </c>
      <c r="E7" s="28">
        <f>D7/D12</f>
        <v>0.9086808083</v>
      </c>
      <c r="F7" s="40">
        <f t="shared" ref="F7:F11" si="1">D7*12</f>
        <v>4268340</v>
      </c>
      <c r="G7" s="29" t="s">
        <v>144</v>
      </c>
    </row>
    <row r="8" ht="19.5" customHeight="1">
      <c r="B8" s="13" t="s">
        <v>145</v>
      </c>
      <c r="C8" s="31" t="s">
        <v>146</v>
      </c>
      <c r="D8" s="14">
        <v>24500.0</v>
      </c>
      <c r="E8" s="32">
        <f>D8/D12</f>
        <v>0.06258924023</v>
      </c>
      <c r="F8" s="41">
        <f t="shared" si="1"/>
        <v>294000</v>
      </c>
      <c r="G8" s="22" t="s">
        <v>147</v>
      </c>
    </row>
    <row r="9" ht="19.5" customHeight="1">
      <c r="B9" s="11" t="s">
        <v>148</v>
      </c>
      <c r="C9" s="27" t="s">
        <v>149</v>
      </c>
      <c r="D9" s="12">
        <v>5833.33333333333</v>
      </c>
      <c r="E9" s="28">
        <f>D9/D12</f>
        <v>0.01490220005</v>
      </c>
      <c r="F9" s="40">
        <f t="shared" si="1"/>
        <v>70000</v>
      </c>
      <c r="G9" s="29" t="s">
        <v>150</v>
      </c>
    </row>
    <row r="10" ht="19.5" customHeight="1">
      <c r="B10" s="13" t="s">
        <v>151</v>
      </c>
      <c r="C10" s="31" t="s">
        <v>152</v>
      </c>
      <c r="D10" s="14">
        <v>2706.375</v>
      </c>
      <c r="E10" s="32">
        <f>D10/D12</f>
        <v>0.006913875715</v>
      </c>
      <c r="F10" s="41">
        <f t="shared" si="1"/>
        <v>32476.5</v>
      </c>
      <c r="G10" s="22" t="s">
        <v>150</v>
      </c>
    </row>
    <row r="11" ht="19.5" customHeight="1">
      <c r="B11" s="11" t="s">
        <v>153</v>
      </c>
      <c r="C11" s="27" t="s">
        <v>152</v>
      </c>
      <c r="D11" s="12">
        <v>2706.375</v>
      </c>
      <c r="E11" s="28">
        <f>D11/D12</f>
        <v>0.006913875715</v>
      </c>
      <c r="F11" s="40">
        <f t="shared" si="1"/>
        <v>32476.5</v>
      </c>
      <c r="G11" s="29" t="s">
        <v>150</v>
      </c>
    </row>
    <row r="12" ht="19.5" customHeight="1">
      <c r="B12" s="33" t="s">
        <v>154</v>
      </c>
      <c r="C12" s="34"/>
      <c r="D12" s="35">
        <f>SUM(D7:D11)</f>
        <v>391441.0833</v>
      </c>
      <c r="E12" s="62" t="s">
        <v>155</v>
      </c>
      <c r="F12" s="35">
        <f>SUM(F7:F11)</f>
        <v>4697293</v>
      </c>
      <c r="G12" s="34"/>
    </row>
    <row r="13" ht="19.5" customHeight="1"/>
    <row r="14" ht="19.5" customHeight="1">
      <c r="B14" s="10" t="s">
        <v>156</v>
      </c>
      <c r="C14" s="6"/>
      <c r="D14" s="6"/>
      <c r="E14" s="6"/>
      <c r="F14" s="7"/>
    </row>
    <row r="15" ht="19.5" customHeight="1">
      <c r="B15" s="25" t="s">
        <v>157</v>
      </c>
      <c r="C15" s="25"/>
      <c r="D15" s="25" t="s">
        <v>158</v>
      </c>
      <c r="E15" s="25"/>
      <c r="F15" s="25" t="s">
        <v>159</v>
      </c>
      <c r="G15" s="25" t="s">
        <v>45</v>
      </c>
    </row>
    <row r="16" ht="19.5" customHeight="1">
      <c r="B16" s="13" t="s">
        <v>160</v>
      </c>
      <c r="D16" s="14">
        <v>400000.0</v>
      </c>
      <c r="F16" s="41">
        <f>D16/12</f>
        <v>33333.33333</v>
      </c>
      <c r="G16" s="22" t="s">
        <v>161</v>
      </c>
    </row>
    <row r="17" ht="19.5" customHeight="1">
      <c r="B17" s="13" t="s">
        <v>162</v>
      </c>
      <c r="D17" s="63" t="s">
        <v>163</v>
      </c>
      <c r="G17" s="22" t="s">
        <v>164</v>
      </c>
    </row>
    <row r="18" ht="19.5" customHeight="1"/>
    <row r="19" ht="19.5" customHeight="1">
      <c r="B19" s="10" t="s">
        <v>165</v>
      </c>
      <c r="C19" s="6"/>
      <c r="D19" s="6"/>
      <c r="E19" s="6"/>
      <c r="F19" s="7"/>
    </row>
    <row r="20" ht="19.5" customHeight="1">
      <c r="B20" s="21" t="s">
        <v>166</v>
      </c>
      <c r="D20" s="41">
        <f>F12</f>
        <v>4697293</v>
      </c>
    </row>
    <row r="21" ht="19.5" customHeight="1">
      <c r="B21" s="21" t="s">
        <v>167</v>
      </c>
      <c r="D21" s="41">
        <f>(515*309.3+31400)*12</f>
        <v>2288274</v>
      </c>
    </row>
    <row r="22" ht="19.5" customHeight="1">
      <c r="B22" s="21" t="s">
        <v>168</v>
      </c>
      <c r="D22" s="41">
        <f>435*309.3*12</f>
        <v>1614546</v>
      </c>
      <c r="F22" s="64">
        <f>Liabilities!D9*12</f>
        <v>2288274</v>
      </c>
    </row>
    <row r="23" ht="19.5" customHeight="1">
      <c r="B23" s="21" t="s">
        <v>169</v>
      </c>
      <c r="D23" s="41">
        <f>D16</f>
        <v>400000</v>
      </c>
      <c r="F23" s="65">
        <f>'Cash Flow'!E17</f>
        <v>1614546</v>
      </c>
    </row>
    <row r="24" ht="19.5" customHeight="1">
      <c r="B24" s="66" t="s">
        <v>170</v>
      </c>
      <c r="C24" s="34"/>
      <c r="D24" s="67">
        <f>(515*309.3+31400)*12+435*309.3*12+D16</f>
        <v>4302820</v>
      </c>
      <c r="E24" s="34"/>
      <c r="F24" s="34"/>
      <c r="G24" s="34"/>
    </row>
    <row r="25" ht="19.5" customHeight="1">
      <c r="B25" s="68" t="s">
        <v>171</v>
      </c>
      <c r="C25" s="69"/>
      <c r="D25" s="70">
        <f>F12-D24</f>
        <v>394473</v>
      </c>
      <c r="E25" s="69"/>
      <c r="F25" s="69">
        <f>SUM(F22:F24)</f>
        <v>3902820</v>
      </c>
      <c r="G25" s="6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F2"/>
    <mergeCell ref="B3:F3"/>
    <mergeCell ref="B5:F5"/>
    <mergeCell ref="B14:F14"/>
    <mergeCell ref="B19:F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22.0"/>
    <col customWidth="1" min="6" max="6" width="35.0"/>
    <col customWidth="1" min="7" max="7" width="15.57"/>
    <col customWidth="1" min="8" max="26" width="8.71"/>
  </cols>
  <sheetData>
    <row r="1" ht="14.25" customHeight="1"/>
    <row r="2" ht="34.5" customHeight="1">
      <c r="B2" s="1" t="s">
        <v>172</v>
      </c>
    </row>
    <row r="3" ht="14.25" customHeight="1">
      <c r="B3" s="24" t="s">
        <v>137</v>
      </c>
    </row>
    <row r="4" ht="14.25" customHeight="1"/>
    <row r="5" ht="19.5" customHeight="1">
      <c r="B5" s="10" t="s">
        <v>173</v>
      </c>
      <c r="C5" s="6"/>
      <c r="D5" s="6"/>
      <c r="E5" s="6"/>
      <c r="F5" s="7"/>
    </row>
    <row r="6" ht="19.5" customHeight="1">
      <c r="B6" s="25" t="s">
        <v>102</v>
      </c>
      <c r="C6" s="25" t="s">
        <v>42</v>
      </c>
      <c r="D6" s="25" t="s">
        <v>140</v>
      </c>
      <c r="E6" s="25" t="s">
        <v>141</v>
      </c>
      <c r="F6" s="25" t="s">
        <v>174</v>
      </c>
      <c r="G6" s="25" t="s">
        <v>45</v>
      </c>
    </row>
    <row r="7" ht="19.5" customHeight="1">
      <c r="B7" s="71" t="s">
        <v>175</v>
      </c>
      <c r="C7" s="69"/>
      <c r="D7" s="69"/>
      <c r="E7" s="69"/>
      <c r="F7" s="69"/>
    </row>
    <row r="8" ht="19.5" customHeight="1">
      <c r="B8" s="11" t="s">
        <v>176</v>
      </c>
      <c r="C8" s="27" t="s">
        <v>143</v>
      </c>
      <c r="D8" s="12">
        <f>'Income Statement'!D7</f>
        <v>355695</v>
      </c>
      <c r="E8" s="40">
        <f t="shared" ref="E8:E12" si="1">D8*12</f>
        <v>4268340</v>
      </c>
      <c r="F8" s="11"/>
      <c r="G8" s="29" t="s">
        <v>177</v>
      </c>
    </row>
    <row r="9" ht="19.5" customHeight="1">
      <c r="B9" s="13" t="s">
        <v>145</v>
      </c>
      <c r="C9" s="31" t="s">
        <v>146</v>
      </c>
      <c r="D9" s="14">
        <f>'Income Statement'!D8</f>
        <v>24500</v>
      </c>
      <c r="E9" s="41">
        <f t="shared" si="1"/>
        <v>294000</v>
      </c>
      <c r="G9" s="22" t="s">
        <v>147</v>
      </c>
    </row>
    <row r="10" ht="19.5" customHeight="1">
      <c r="B10" s="11" t="s">
        <v>178</v>
      </c>
      <c r="C10" s="27" t="s">
        <v>149</v>
      </c>
      <c r="D10" s="12">
        <f>'Income Statement'!D9</f>
        <v>5833.333333</v>
      </c>
      <c r="E10" s="40">
        <f t="shared" si="1"/>
        <v>70000</v>
      </c>
      <c r="F10" s="11"/>
      <c r="G10" s="29" t="s">
        <v>179</v>
      </c>
    </row>
    <row r="11" ht="19.5" customHeight="1">
      <c r="B11" s="13" t="s">
        <v>180</v>
      </c>
      <c r="C11" s="31" t="s">
        <v>152</v>
      </c>
      <c r="D11" s="14">
        <f>'Income Statement'!D10</f>
        <v>2706.375</v>
      </c>
      <c r="E11" s="41">
        <f t="shared" si="1"/>
        <v>32476.5</v>
      </c>
      <c r="G11" s="22" t="s">
        <v>181</v>
      </c>
    </row>
    <row r="12" ht="19.5" customHeight="1">
      <c r="B12" s="11" t="s">
        <v>182</v>
      </c>
      <c r="C12" s="27" t="s">
        <v>152</v>
      </c>
      <c r="D12" s="12">
        <f>'Income Statement'!D11</f>
        <v>2706.375</v>
      </c>
      <c r="E12" s="40">
        <f t="shared" si="1"/>
        <v>32476.5</v>
      </c>
      <c r="F12" s="11"/>
      <c r="G12" s="29" t="s">
        <v>181</v>
      </c>
    </row>
    <row r="13" ht="19.5" customHeight="1">
      <c r="B13" s="72" t="s">
        <v>183</v>
      </c>
      <c r="C13" s="73"/>
      <c r="D13" s="74">
        <f t="shared" ref="D13:E13" si="2">SUM(D8:D12)</f>
        <v>391441.0833</v>
      </c>
      <c r="E13" s="74">
        <f t="shared" si="2"/>
        <v>4697293</v>
      </c>
      <c r="F13" s="73"/>
      <c r="G13" s="73"/>
    </row>
    <row r="14" ht="19.5" customHeight="1"/>
    <row r="15" ht="19.5" customHeight="1">
      <c r="B15" s="53" t="s">
        <v>184</v>
      </c>
      <c r="C15" s="44"/>
      <c r="D15" s="44"/>
      <c r="E15" s="44"/>
      <c r="F15" s="44"/>
    </row>
    <row r="16" ht="19.5" customHeight="1">
      <c r="B16" s="11" t="s">
        <v>185</v>
      </c>
      <c r="C16" s="27" t="s">
        <v>186</v>
      </c>
      <c r="D16" s="12">
        <f>Liabilities!D8</f>
        <v>159289.5</v>
      </c>
      <c r="E16" s="40">
        <f t="shared" ref="E16:E18" si="3">D16*12</f>
        <v>1911474</v>
      </c>
      <c r="F16" s="11"/>
      <c r="G16" s="29" t="s">
        <v>187</v>
      </c>
    </row>
    <row r="17" ht="19.5" customHeight="1">
      <c r="B17" s="13" t="s">
        <v>188</v>
      </c>
      <c r="C17" s="31" t="s">
        <v>189</v>
      </c>
      <c r="D17" s="14">
        <v>134545.5</v>
      </c>
      <c r="E17" s="41">
        <f t="shared" si="3"/>
        <v>1614546</v>
      </c>
      <c r="G17" s="22" t="s">
        <v>190</v>
      </c>
    </row>
    <row r="18" ht="19.5" customHeight="1">
      <c r="B18" s="11" t="s">
        <v>191</v>
      </c>
      <c r="C18" s="27" t="s">
        <v>192</v>
      </c>
      <c r="D18" s="12">
        <f>Liabilities!D7</f>
        <v>31400</v>
      </c>
      <c r="E18" s="40">
        <f t="shared" si="3"/>
        <v>376800</v>
      </c>
      <c r="F18" s="11"/>
      <c r="G18" s="29" t="s">
        <v>193</v>
      </c>
    </row>
    <row r="19" ht="19.5" customHeight="1">
      <c r="B19" s="75" t="s">
        <v>194</v>
      </c>
      <c r="C19" s="76"/>
      <c r="D19" s="77">
        <f t="shared" ref="D19:E19" si="4">SUM(D16:D18)</f>
        <v>325235</v>
      </c>
      <c r="E19" s="77">
        <f t="shared" si="4"/>
        <v>3902820</v>
      </c>
      <c r="F19" s="76"/>
      <c r="G19" s="76"/>
    </row>
    <row r="20" ht="19.5" customHeight="1"/>
    <row r="21" ht="19.5" customHeight="1">
      <c r="B21" s="10" t="s">
        <v>195</v>
      </c>
      <c r="C21" s="6"/>
      <c r="D21" s="6"/>
      <c r="E21" s="6"/>
      <c r="F21" s="7"/>
    </row>
    <row r="22" ht="19.5" customHeight="1">
      <c r="B22" s="78" t="s">
        <v>196</v>
      </c>
      <c r="C22" s="69"/>
      <c r="D22" s="70">
        <f t="shared" ref="D22:E22" si="5">D13-D19</f>
        <v>66206.08333</v>
      </c>
      <c r="E22" s="70">
        <f t="shared" si="5"/>
        <v>794473</v>
      </c>
      <c r="F22" s="69"/>
      <c r="G22" s="69"/>
    </row>
    <row r="23" ht="19.5" customHeight="1">
      <c r="B23" s="21" t="s">
        <v>197</v>
      </c>
      <c r="D23" s="56">
        <f t="shared" ref="D23:E23" si="6">D22/D13</f>
        <v>0.1691342226</v>
      </c>
      <c r="E23" s="56">
        <f t="shared" si="6"/>
        <v>0.1691342226</v>
      </c>
    </row>
    <row r="24" ht="19.5" customHeight="1"/>
    <row r="25" ht="19.5" customHeight="1">
      <c r="B25" s="10" t="s">
        <v>198</v>
      </c>
      <c r="C25" s="6"/>
      <c r="D25" s="6"/>
      <c r="E25" s="6"/>
      <c r="F25" s="7"/>
    </row>
    <row r="26" ht="19.5" customHeight="1">
      <c r="B26" s="13" t="s">
        <v>199</v>
      </c>
      <c r="E26" s="14">
        <f>'Income Statement'!D16</f>
        <v>400000</v>
      </c>
      <c r="F26" s="22" t="s">
        <v>200</v>
      </c>
    </row>
    <row r="27" ht="19.5" customHeight="1">
      <c r="B27" s="33" t="s">
        <v>201</v>
      </c>
      <c r="C27" s="34"/>
      <c r="D27" s="34"/>
      <c r="E27" s="35">
        <f>E19+E26</f>
        <v>4302820</v>
      </c>
      <c r="F27" s="34"/>
      <c r="G27" s="34"/>
    </row>
    <row r="28" ht="19.5" customHeight="1">
      <c r="B28" s="79" t="s">
        <v>202</v>
      </c>
      <c r="C28" s="69"/>
      <c r="D28" s="69"/>
      <c r="E28" s="70">
        <f>E13-E27</f>
        <v>394473</v>
      </c>
      <c r="F28" s="69"/>
      <c r="G28" s="69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F2"/>
    <mergeCell ref="B3:F3"/>
    <mergeCell ref="B5:F5"/>
    <mergeCell ref="B21:F21"/>
    <mergeCell ref="B25:F25"/>
  </mergeCells>
  <printOptions/>
  <pageMargins bottom="1.0" footer="0.0" header="0.0" left="0.75" right="0.75" top="1.0"/>
  <pageSetup paperSize="9" orientation="portrait"/>
  <drawing r:id="rId1"/>
</worksheet>
</file>