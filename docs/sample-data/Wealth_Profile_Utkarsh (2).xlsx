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ssets" sheetId="2" r:id="rId6"/>
    <sheet state="visible" name="Liabilities" sheetId="3" r:id="rId7"/>
    <sheet state="visible" name="Balance Sheet" sheetId="4" r:id="rId8"/>
    <sheet state="visible" name="Income Statement" sheetId="5" r:id="rId9"/>
    <sheet state="visible" name="Cash Flow" sheetId="6" r:id="rId10"/>
    <sheet state="visible" name="Calc_Data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<sst xmlns="http://schemas.openxmlformats.org/spreadsheetml/2006/main" count="296" uniqueCount="236">
  <si>
    <t>PERSONAL WEALTH PROFILE</t>
  </si>
  <si>
    <t>Comprehensive Financial Consolidation Report</t>
  </si>
  <si>
    <t>Satheesh Sivasubramonia Pillai  |  All amounts in INR (₹)  |  Exchange Rate: 309.3 INR/KD</t>
  </si>
  <si>
    <t>KEY FINANCIAL SUMMARY</t>
  </si>
  <si>
    <t>Total Assets</t>
  </si>
  <si>
    <t>Total Liabilities</t>
  </si>
  <si>
    <t>Net Worth</t>
  </si>
  <si>
    <t>Monthly Net Cash Flow</t>
  </si>
  <si>
    <t>Annual Net Cash Flow</t>
  </si>
  <si>
    <t>PORTFOLIO HIGHLIGHTS</t>
  </si>
  <si>
    <t>Total Liquid &amp; Financial Assets</t>
  </si>
  <si>
    <t>Total Real Estate Holdings</t>
  </si>
  <si>
    <t>Monthly Gross Income</t>
  </si>
  <si>
    <t>Monthly Total Outflows</t>
  </si>
  <si>
    <t>Debt-to-Asset Ratio</t>
  </si>
  <si>
    <t>Liquid Asset Coverage (months of expenses)</t>
  </si>
  <si>
    <t>REPORT INDEX</t>
  </si>
  <si>
    <t>Sheet Name</t>
  </si>
  <si>
    <t>Description</t>
  </si>
  <si>
    <t>Assets</t>
  </si>
  <si>
    <t>Detailed breakdown of all liquid, financial, and real estate assets (INR)</t>
  </si>
  <si>
    <t>Liabilities</t>
  </si>
  <si>
    <t>Complete liability schedule including loans and litigation exposure (INR)</t>
  </si>
  <si>
    <t>Balance Sheet</t>
  </si>
  <si>
    <t>Consolidated financial position — Assets, Liabilities &amp; Net Worth</t>
  </si>
  <si>
    <t>Income Statement</t>
  </si>
  <si>
    <t>Monthly and annual income breakdown with FD interest included</t>
  </si>
  <si>
    <t>Cash Flow</t>
  </si>
  <si>
    <t>Monthly and annual inflows, outflows, and net cash flow analysis</t>
  </si>
  <si>
    <t>Dashboard</t>
  </si>
  <si>
    <t>Visual charts and KPIs for quick financial overview</t>
  </si>
  <si>
    <t>IMPORTANT NOTES</t>
  </si>
  <si>
    <t>•  All Kuwait Dinar (KD) amounts converted to INR at 309.3 INR per 1 KD.</t>
  </si>
  <si>
    <t>•  FD interest calculated at 7% p.a. (India) and 3.5% p.a. (Kuwait) — estimated market rates.</t>
  </si>
  <si>
    <t>•  Under-construction flat (₹55 Lakhs paid) is under litigation — excluded from assets, included in liabilities as exposure.</t>
  </si>
  <si>
    <t>•  Insurance premiums (Life, Health, Critical Illness) not included due to non-availability of premium amounts.</t>
  </si>
  <si>
    <t>•  Endowment policy premium of ₹4 Lakhs/year included in annual expense analysis.</t>
  </si>
  <si>
    <t>•  Net Worth = Total Assets − Total Liabilities. Litigation exposure treated as per user instruction.</t>
  </si>
  <si>
    <t>ASSET REGISTER</t>
  </si>
  <si>
    <t>All values in INR (₹)  |  Exchange Rate: 309.3 INR/KD</t>
  </si>
  <si>
    <t>A. LIQUID &amp; FINANCIAL ASSETS</t>
  </si>
  <si>
    <t>Asset Description</t>
  </si>
  <si>
    <t>Original Amount</t>
  </si>
  <si>
    <t>INR Value</t>
  </si>
  <si>
    <t>% of Total</t>
  </si>
  <si>
    <t>Notes</t>
  </si>
  <si>
    <t>Fixed Deposit – Emergency Fund (India)</t>
  </si>
  <si>
    <t>Rs 10,00,000</t>
  </si>
  <si>
    <t>7% p.a. interest</t>
  </si>
  <si>
    <t>Emergency Fund (Kuwait)</t>
  </si>
  <si>
    <t>KD 4,000</t>
  </si>
  <si>
    <t>Liquid cash reserve</t>
  </si>
  <si>
    <t>Fixed Deposit – Company Capital (Kuwait)</t>
  </si>
  <si>
    <t>KD 3,000</t>
  </si>
  <si>
    <t>3.5% p.a. interest</t>
  </si>
  <si>
    <t>Fixed Deposit – Son's CFA Studies (Kuwait)</t>
  </si>
  <si>
    <t>Savings Account – Investable Corpus (India)</t>
  </si>
  <si>
    <t>Rs 35,00,000</t>
  </si>
  <si>
    <t>To be deployed in MFs</t>
  </si>
  <si>
    <t>Loan Receivable (Kuwait)</t>
  </si>
  <si>
    <t>KD 17,500</t>
  </si>
  <si>
    <t>Expected this year</t>
  </si>
  <si>
    <t>Gold (in locker)</t>
  </si>
  <si>
    <t>Rs 50,00,000</t>
  </si>
  <si>
    <t>Physical gold holdings</t>
  </si>
  <si>
    <t>Subtotal – Liquid &amp; Financial Assets</t>
  </si>
  <si>
    <t>B. REAL ESTATE HOLDINGS</t>
  </si>
  <si>
    <t>Property</t>
  </si>
  <si>
    <t>Location / Status</t>
  </si>
  <si>
    <t>Estimated Value (INR)</t>
  </si>
  <si>
    <t>Income / Notes</t>
  </si>
  <si>
    <t>Residential Flat*</t>
  </si>
  <si>
    <t>India – Rented</t>
  </si>
  <si>
    <t>Rs 24,500/month rental. Val calculated from 3.5% rental yield</t>
  </si>
  <si>
    <t>Plot 1</t>
  </si>
  <si>
    <t>Trivandrum – Held</t>
  </si>
  <si>
    <t>No income</t>
  </si>
  <si>
    <t>Plot 2</t>
  </si>
  <si>
    <t>Plot 3</t>
  </si>
  <si>
    <t>Bangalore – Held</t>
  </si>
  <si>
    <t>Under-Construction Flat</t>
  </si>
  <si>
    <t>Litigation – EXCLUDED</t>
  </si>
  <si>
    <t>—</t>
  </si>
  <si>
    <t>Rs 55L paid; not counted in assets per instruction</t>
  </si>
  <si>
    <t>Subtotal – Real Estate (Non-Litigation)</t>
  </si>
  <si>
    <t>TOTAL ASSETS</t>
  </si>
  <si>
    <t>LIABILITY SCHEDULE</t>
  </si>
  <si>
    <t>A. BORROWINGS &amp; LOANS</t>
  </si>
  <si>
    <t>Liability</t>
  </si>
  <si>
    <t>Outstanding (INR)</t>
  </si>
  <si>
    <t>EMI (INR)</t>
  </si>
  <si>
    <t>Tenure Left</t>
  </si>
  <si>
    <t>Total Payable</t>
  </si>
  <si>
    <t>Lender / Notes</t>
  </si>
  <si>
    <t>Home Loan (India)</t>
  </si>
  <si>
    <t>~1 year</t>
  </si>
  <si>
    <t>SBI</t>
  </si>
  <si>
    <t>Personal Loan (Kuwait)</t>
  </si>
  <si>
    <t>~4 years</t>
  </si>
  <si>
    <t>Burgan Bank</t>
  </si>
  <si>
    <t>Subtotal – Loans</t>
  </si>
  <si>
    <t>B. LITIGATION-RELATED EXPOSURE</t>
  </si>
  <si>
    <t>Item</t>
  </si>
  <si>
    <t>Amount (INR)</t>
  </si>
  <si>
    <t>Status</t>
  </si>
  <si>
    <t>Expected Outcome</t>
  </si>
  <si>
    <t>Recovery</t>
  </si>
  <si>
    <t>Flat Advance Paid (Under Litigation)</t>
  </si>
  <si>
    <t>In litigation</t>
  </si>
  <si>
    <t>If won: flat + Rs 40L needed</t>
  </si>
  <si>
    <t>If lost: Rs 10-15L</t>
  </si>
  <si>
    <t>Rs 55L already paid; excluded from assets</t>
  </si>
  <si>
    <t>TOTAL LIABILITIES</t>
  </si>
  <si>
    <t>CONSOLIDATED BALANCE SHEET</t>
  </si>
  <si>
    <t>As of June 2026  |  All amounts in INR (₹)  |  Exchange Rate: 309.3 INR/KD</t>
  </si>
  <si>
    <t>ASSETS</t>
  </si>
  <si>
    <t>LIABILITIES</t>
  </si>
  <si>
    <t>LIQUID &amp; FINANCIAL ASSETS</t>
  </si>
  <si>
    <t>BORROWINGS &amp; LOANS</t>
  </si>
  <si>
    <t>Fixed Deposit – Emergency Fund</t>
  </si>
  <si>
    <t>Home Loan – SBI (India)</t>
  </si>
  <si>
    <t>Personal Loan – Burgan Bank</t>
  </si>
  <si>
    <t>Subtotal – Liquid &amp; Financial</t>
  </si>
  <si>
    <t>LITIGATION EXPOSURE</t>
  </si>
  <si>
    <t>Subtotal – Litigation</t>
  </si>
  <si>
    <t>REAL ESTATE HOLDINGS</t>
  </si>
  <si>
    <t>Residential Property</t>
  </si>
  <si>
    <t>KEY METRICS</t>
  </si>
  <si>
    <t>Plot 1 – Trivandrum</t>
  </si>
  <si>
    <t>Plot 2 – Trivandrum</t>
  </si>
  <si>
    <t>Liquid Assets to Total Assets</t>
  </si>
  <si>
    <t>Plot – Bangalore</t>
  </si>
  <si>
    <t>Real Estate to Total Assets</t>
  </si>
  <si>
    <t>Subtotal – Real Estate</t>
  </si>
  <si>
    <t>Net Worth Ratio</t>
  </si>
  <si>
    <t>NET WORTH (Assets – Liabilities)</t>
  </si>
  <si>
    <t>INCOME STATEMENT</t>
  </si>
  <si>
    <t>Monthly &amp; Annual  |  All amounts in INR (₹)  |  Exchange Rate: 309.3 INR/KD</t>
  </si>
  <si>
    <t>MONTHLY INCOME</t>
  </si>
  <si>
    <t>Income Source</t>
  </si>
  <si>
    <t>Monthly (INR)</t>
  </si>
  <si>
    <t>Annual (INR)</t>
  </si>
  <si>
    <t>Freelance Income (3 SME clients)</t>
  </si>
  <si>
    <t>KD 1,150</t>
  </si>
  <si>
    <t>Rs 40-45L/year range</t>
  </si>
  <si>
    <t>Rental Income – India Flat</t>
  </si>
  <si>
    <t>Rs 24,500</t>
  </si>
  <si>
    <t>Including AMC</t>
  </si>
  <si>
    <t>FD Interest – India (7% p.a.)</t>
  </si>
  <si>
    <t>Rs 10L × 7% ÷ 12</t>
  </si>
  <si>
    <t>Estimated rate</t>
  </si>
  <si>
    <t>FD Interest – Company Capital (3.5% p.a.)</t>
  </si>
  <si>
    <t>KD 3K × 3.5% ÷ 12</t>
  </si>
  <si>
    <t>FD Interest – Son's CFA (3.5% p.a.)</t>
  </si>
  <si>
    <t>TOTAL MONTHLY INCOME</t>
  </si>
  <si>
    <t>100%</t>
  </si>
  <si>
    <t>ANNUAL EXPENSES (Non-EMI)</t>
  </si>
  <si>
    <t>Expense Item</t>
  </si>
  <si>
    <t>Annual Amount</t>
  </si>
  <si>
    <t>Monthly Equivalent</t>
  </si>
  <si>
    <t>Endowment Policy Premium (Ageas Federal)</t>
  </si>
  <si>
    <t>Rs 4L/year, 2021-2027</t>
  </si>
  <si>
    <t>Life / Health / Critical Illness Premiums</t>
  </si>
  <si>
    <t>Not specified</t>
  </si>
  <si>
    <t>Metlife Life $320K, Niva Bupa Rs 1Cr, CI $150K</t>
  </si>
  <si>
    <t>INCOME SUMMARY</t>
  </si>
  <si>
    <t>Total Annual Gross Income</t>
  </si>
  <si>
    <t>Total Annual EMI Outflows</t>
  </si>
  <si>
    <t>Annual Household Expenses</t>
  </si>
  <si>
    <t>Annual Insurance Premium</t>
  </si>
  <si>
    <t>Total Annual Outflows</t>
  </si>
  <si>
    <t>NET ANNUAL SURPLUS (Income – Outflows)</t>
  </si>
  <si>
    <t>CASH FLOW STATEMENT</t>
  </si>
  <si>
    <t>MONTHLY CASH FLOW</t>
  </si>
  <si>
    <t>% of Annual Inflow</t>
  </si>
  <si>
    <t>CASH INFLOWS</t>
  </si>
  <si>
    <t>Freelance Income</t>
  </si>
  <si>
    <t>3 SME clients</t>
  </si>
  <si>
    <t>FD Interest – India (7%)</t>
  </si>
  <si>
    <t>Estimated</t>
  </si>
  <si>
    <t>FD Interest – Co. Capital (3.5%)</t>
  </si>
  <si>
    <t>Kuwait FD</t>
  </si>
  <si>
    <t>FD Interest – Son's CFA (3.5%)</t>
  </si>
  <si>
    <t>TOTAL INFLOWS</t>
  </si>
  <si>
    <t>CASH OUTFLOWS</t>
  </si>
  <si>
    <t>Personal Loan EMI (Burgan Bank)</t>
  </si>
  <si>
    <t>KD 515</t>
  </si>
  <si>
    <t>~4 years remaining</t>
  </si>
  <si>
    <t>Household Expenses (Kuwait)</t>
  </si>
  <si>
    <t>KD 435</t>
  </si>
  <si>
    <t>Monthly living</t>
  </si>
  <si>
    <t>Home Loan EMI (SBI)</t>
  </si>
  <si>
    <t>Rs 31,400</t>
  </si>
  <si>
    <t>~1 year remaining</t>
  </si>
  <si>
    <t>TOTAL OUTFLOWS</t>
  </si>
  <si>
    <t>NET CASH FLOW</t>
  </si>
  <si>
    <t>Net Monthly Cash Flow</t>
  </si>
  <si>
    <t>Savings Rate (Net / Inflow)</t>
  </si>
  <si>
    <t>ANNUAL COMMITMENTS</t>
  </si>
  <si>
    <t>Endowment Policy Premium (Annual)</t>
  </si>
  <si>
    <t>Rs 4L/year, last payment 2027</t>
  </si>
  <si>
    <t>Total Annual Commitments (EMI + Household + Insurance)</t>
  </si>
  <si>
    <t>Net Annual Cash Flow after All Commitments</t>
  </si>
  <si>
    <t>Summary Metrics</t>
  </si>
  <si>
    <t>Asset Allocation</t>
  </si>
  <si>
    <t>Cash Inflows vs Outflows (Monthly)</t>
  </si>
  <si>
    <t>Liability Breakdown</t>
  </si>
  <si>
    <t>Value</t>
  </si>
  <si>
    <t>Loan</t>
  </si>
  <si>
    <t>EMI</t>
  </si>
  <si>
    <t>Category</t>
  </si>
  <si>
    <t>Amount</t>
  </si>
  <si>
    <t>Asset</t>
  </si>
  <si>
    <t>Metric</t>
  </si>
  <si>
    <t>Asset Type</t>
  </si>
  <si>
    <t>Inflow</t>
  </si>
  <si>
    <t>Outflow</t>
  </si>
  <si>
    <t>Outstanding</t>
  </si>
  <si>
    <t>Expense Source</t>
  </si>
  <si>
    <t>Asset Class</t>
  </si>
  <si>
    <t>Annual Inflows</t>
  </si>
  <si>
    <t>Liquid &amp; Financial Assets</t>
  </si>
  <si>
    <t>Annual Outflows</t>
  </si>
  <si>
    <t>Rental Income</t>
  </si>
  <si>
    <t>Real Estate Holdings</t>
  </si>
  <si>
    <t>FD Interest (India)</t>
  </si>
  <si>
    <t>FD Interest (Co. Capital)</t>
  </si>
  <si>
    <t>FD Interest (Son's CFA)</t>
  </si>
  <si>
    <t>Personal Loan EMI</t>
  </si>
  <si>
    <t>Household Expenses</t>
  </si>
  <si>
    <t>Residential Flat (India)</t>
  </si>
  <si>
    <t>Home Loan EMI</t>
  </si>
  <si>
    <t>Plot 1 (Trivandrum)</t>
  </si>
  <si>
    <t>Plot 2 (Trivandrum)</t>
  </si>
  <si>
    <t>Plot 3 (Bangalore)</t>
  </si>
  <si>
    <t>COMPREHENSIVE FINANCIAL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</si>
</sst>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₹#,##0"/>
    <numFmt numFmtId="165" formatCode="0.00\x"/>
    <numFmt numFmtId="166" formatCode="0.0%"/>
    <numFmt numFmtId="167" formatCode="&quot;₹&quot;#,##0"/>
  </numFmts>
  <fonts count="22">
    <font>
      <sz val="11.0"/>
      <color rgb="FF000000"/>
      <name val="Calibri"/>
      <scheme val="minor"/>
    </font>
    <font>
      <b/>
      <sz val="20.0"/>
      <color rgb="FF122B49"/>
      <name val="Calibri"/>
    </font>
    <font>
      <sz val="12.0"/>
      <color rgb="FF666666"/>
      <name val="Calibri"/>
    </font>
    <font>
      <i/>
      <sz val="10.0"/>
      <color rgb="FF666666"/>
      <name val="Calibri"/>
    </font>
    <font>
      <sz val="11.0"/>
      <color rgb="FF000000"/>
      <name val="Calibri"/>
    </font>
    <font>
      <b/>
      <sz val="13.0"/>
      <color rgb="FF122B49"/>
      <name val="Calibri"/>
    </font>
    <font/>
    <font>
      <b/>
      <sz val="9.0"/>
      <color rgb="FF666666"/>
      <name val="Calibri"/>
    </font>
    <font>
      <b/>
      <sz val="14.0"/>
      <color rgb="FF122B49"/>
      <name val="Calibri"/>
    </font>
    <font>
      <sz val="11.0"/>
      <color rgb="FF2E5C8A"/>
      <name val="Calibri"/>
    </font>
    <font>
      <b/>
      <sz val="10.0"/>
      <color rgb="FFFFFFFF"/>
      <name val="Calibri"/>
    </font>
    <font>
      <b/>
      <sz val="11.0"/>
      <color rgb="FF000000"/>
      <name val="Calibri"/>
    </font>
    <font>
      <sz val="10.0"/>
      <color rgb="FF666666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2.0"/>
      <color rgb="FF000000"/>
      <name val="Calibri"/>
    </font>
    <font>
      <b/>
      <sz val="13.0"/>
      <color rgb="FFFFFFFF"/>
      <name val="Calibri"/>
    </font>
    <font>
      <b/>
      <sz val="11.0"/>
      <color rgb="FF8B3A3A"/>
      <name val="Calibri"/>
    </font>
    <font>
      <b/>
      <sz val="14.0"/>
      <color rgb="FFFFFFFF"/>
      <name val="Calibri"/>
    </font>
    <font>
      <b/>
      <sz val="12.0"/>
      <color rgb="FF122B49"/>
      <name val="Calibri"/>
    </font>
    <font>
      <b/>
      <sz val="11.0"/>
      <color rgb="FF122B49"/>
      <name val="Calibri"/>
    </font>
    <font>
      <b/>
      <sz val="24.0"/>
      <color rgb="FFFFFFFF"/>
      <name val="Montserrat"/>
    </font>
  </fonts>
  <fills count="14">
    <fill>
      <patternFill patternType="none"/>
    </fill>
    <fill>
      <patternFill patternType="lightGray"/>
    </fill>
    <fill>
      <patternFill patternType="solid">
        <fgColor rgb="FFE8F0F8"/>
        <bgColor rgb="FFE8F0F8"/>
      </patternFill>
    </fill>
    <fill>
      <patternFill patternType="solid">
        <fgColor rgb="FFFFF3E0"/>
        <bgColor rgb="FFFFF3E0"/>
      </patternFill>
    </fill>
    <fill>
      <patternFill patternType="solid">
        <fgColor rgb="FFF5F5F5"/>
        <bgColor rgb="FFF5F5F5"/>
      </patternFill>
    </fill>
    <fill>
      <patternFill patternType="solid">
        <fgColor rgb="FF1B3A5C"/>
        <bgColor rgb="FF1B3A5C"/>
      </patternFill>
    </fill>
    <fill>
      <patternFill patternType="solid">
        <fgColor rgb="FF122B49"/>
        <bgColor rgb="FF122B49"/>
      </patternFill>
    </fill>
    <fill>
      <patternFill patternType="solid">
        <fgColor rgb="FFFDE9E9"/>
        <bgColor rgb="FFFDE9E9"/>
      </patternFill>
    </fill>
    <fill>
      <patternFill patternType="solid">
        <fgColor rgb="FF8B3A3A"/>
        <bgColor rgb="FF8B3A3A"/>
      </patternFill>
    </fill>
    <fill>
      <patternFill patternType="solid">
        <fgColor rgb="FF1B7A3D"/>
        <bgColor rgb="FF1B7A3D"/>
      </patternFill>
    </fill>
    <fill>
      <patternFill patternType="solid">
        <fgColor rgb="FFC0392B"/>
        <bgColor rgb="FFC0392B"/>
      </patternFill>
    </fill>
    <fill>
      <patternFill patternType="solid">
        <fgColor rgb="FFE8F5E9"/>
        <bgColor rgb="FFE8F5E9"/>
      </patternFill>
    </fill>
    <fill>
      <patternFill patternType="solid">
        <fgColor rgb="FFF9F8FF"/>
        <bgColor rgb="FFF9F8FF"/>
      </patternFill>
    </fill>
    <fill>
      <patternFill patternType="solid">
        <fgColor rgb="FF4B5C92"/>
        <bgColor rgb="FF4B5C92"/>
      </patternFill>
    </fill>
  </fills>
  <borders count="7">
    <border/>
    <border>
      <bottom style="medium">
        <color rgb="FF122B49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medium">
        <color rgb="FF122B49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0" fontId="4" numFmtId="0" xfId="0" applyBorder="1" applyFont="1"/>
    <xf borderId="2" fillId="2" fontId="5" numFmtId="0" xfId="0" applyAlignment="1" applyBorder="1" applyFill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horizontal="center" vertical="center"/>
    </xf>
    <xf borderId="5" fillId="3" fontId="8" numFmtId="164" xfId="0" applyAlignment="1" applyBorder="1" applyFill="1" applyFont="1" applyNumberFormat="1">
      <alignment horizontal="center" vertical="center"/>
    </xf>
    <xf borderId="2" fillId="2" fontId="5" numFmtId="0" xfId="0" applyBorder="1" applyFont="1"/>
    <xf borderId="5" fillId="4" fontId="4" numFmtId="0" xfId="0" applyBorder="1" applyFill="1" applyFont="1"/>
    <xf borderId="5" fillId="4" fontId="9" numFmtId="164" xfId="0" applyAlignment="1" applyBorder="1" applyFont="1" applyNumberFormat="1">
      <alignment horizontal="right" vertical="center"/>
    </xf>
    <xf borderId="0" fillId="0" fontId="4" numFmtId="0" xfId="0" applyFont="1"/>
    <xf borderId="0" fillId="0" fontId="9" numFmtId="164" xfId="0" applyAlignment="1" applyFont="1" applyNumberFormat="1">
      <alignment horizontal="right" vertical="center"/>
    </xf>
    <xf borderId="5" fillId="4" fontId="9" numFmtId="165" xfId="0" applyAlignment="1" applyBorder="1" applyFont="1" applyNumberFormat="1">
      <alignment horizontal="right" vertical="center"/>
    </xf>
    <xf borderId="0" fillId="0" fontId="9" numFmtId="165" xfId="0" applyAlignment="1" applyFont="1" applyNumberFormat="1">
      <alignment horizontal="right" vertical="center"/>
    </xf>
    <xf borderId="5" fillId="5" fontId="10" numFmtId="0" xfId="0" applyAlignment="1" applyBorder="1" applyFill="1" applyFont="1">
      <alignment horizontal="left" vertical="center"/>
    </xf>
    <xf borderId="2" fillId="5" fontId="10" numFmtId="0" xfId="0" applyAlignment="1" applyBorder="1" applyFont="1">
      <alignment horizontal="left" vertical="center"/>
    </xf>
    <xf borderId="5" fillId="4" fontId="11" numFmtId="0" xfId="0" applyBorder="1" applyFont="1"/>
    <xf borderId="2" fillId="4" fontId="4" numFmtId="0" xfId="0" applyBorder="1" applyFont="1"/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readingOrder="0"/>
    </xf>
    <xf borderId="0" fillId="0" fontId="2" numFmtId="0" xfId="0" applyFont="1"/>
    <xf borderId="5" fillId="6" fontId="14" numFmtId="0" xfId="0" applyAlignment="1" applyBorder="1" applyFill="1" applyFont="1">
      <alignment horizontal="center" vertical="center"/>
    </xf>
    <xf borderId="5" fillId="4" fontId="4" numFmtId="0" xfId="0" applyAlignment="1" applyBorder="1" applyFont="1">
      <alignment horizontal="left" vertical="center"/>
    </xf>
    <xf borderId="5" fillId="4" fontId="4" numFmtId="0" xfId="0" applyAlignment="1" applyBorder="1" applyFont="1">
      <alignment horizontal="center" vertical="center"/>
    </xf>
    <xf borderId="5" fillId="4" fontId="4" numFmtId="166" xfId="0" applyAlignment="1" applyBorder="1" applyFont="1" applyNumberFormat="1">
      <alignment horizontal="center" vertical="center"/>
    </xf>
    <xf borderId="5" fillId="4" fontId="12" numFmtId="0" xfId="0" applyBorder="1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6" fillId="3" fontId="15" numFmtId="0" xfId="0" applyBorder="1" applyFont="1"/>
    <xf borderId="6" fillId="3" fontId="4" numFmtId="0" xfId="0" applyBorder="1" applyFont="1"/>
    <xf borderId="6" fillId="3" fontId="15" numFmtId="164" xfId="0" applyBorder="1" applyFont="1" applyNumberFormat="1"/>
    <xf borderId="5" fillId="4" fontId="9" numFmtId="0" xfId="0" applyAlignment="1" applyBorder="1" applyFont="1">
      <alignment horizontal="right" vertical="center"/>
    </xf>
    <xf borderId="5" fillId="6" fontId="16" numFmtId="0" xfId="0" applyBorder="1" applyFont="1"/>
    <xf borderId="5" fillId="6" fontId="4" numFmtId="0" xfId="0" applyBorder="1" applyFont="1"/>
    <xf borderId="5" fillId="6" fontId="16" numFmtId="164" xfId="0" applyBorder="1" applyFont="1" applyNumberFormat="1"/>
    <xf borderId="5" fillId="4" fontId="4" numFmtId="164" xfId="0" applyAlignment="1" applyBorder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2" fillId="7" fontId="5" numFmtId="0" xfId="0" applyBorder="1" applyFill="1" applyFont="1"/>
    <xf borderId="5" fillId="8" fontId="14" numFmtId="0" xfId="0" applyAlignment="1" applyBorder="1" applyFill="1" applyFont="1">
      <alignment horizontal="center" vertical="center"/>
    </xf>
    <xf borderId="5" fillId="7" fontId="4" numFmtId="0" xfId="0" applyBorder="1" applyFont="1"/>
    <xf borderId="5" fillId="7" fontId="17" numFmtId="164" xfId="0" applyAlignment="1" applyBorder="1" applyFont="1" applyNumberFormat="1">
      <alignment horizontal="right" vertical="center"/>
    </xf>
    <xf borderId="5" fillId="7" fontId="4" numFmtId="0" xfId="0" applyAlignment="1" applyBorder="1" applyFont="1">
      <alignment horizontal="center" vertical="center"/>
    </xf>
    <xf borderId="5" fillId="7" fontId="12" numFmtId="0" xfId="0" applyAlignment="1" applyBorder="1" applyFont="1">
      <alignment horizontal="center" vertical="center"/>
    </xf>
    <xf borderId="5" fillId="7" fontId="12" numFmtId="0" xfId="0" applyBorder="1" applyFont="1"/>
    <xf borderId="2" fillId="9" fontId="16" numFmtId="0" xfId="0" applyBorder="1" applyFill="1" applyFont="1"/>
    <xf borderId="2" fillId="10" fontId="16" numFmtId="0" xfId="0" applyBorder="1" applyFill="1" applyFont="1"/>
    <xf borderId="5" fillId="2" fontId="5" numFmtId="0" xfId="0" applyBorder="1" applyFont="1"/>
    <xf borderId="5" fillId="2" fontId="4" numFmtId="0" xfId="0" applyBorder="1" applyFont="1"/>
    <xf borderId="5" fillId="7" fontId="5" numFmtId="0" xfId="0" applyBorder="1" applyFont="1"/>
    <xf borderId="5" fillId="10" fontId="16" numFmtId="0" xfId="0" applyBorder="1" applyFont="1"/>
    <xf borderId="5" fillId="10" fontId="16" numFmtId="164" xfId="0" applyBorder="1" applyFont="1" applyNumberFormat="1"/>
    <xf borderId="0" fillId="0" fontId="4" numFmtId="166" xfId="0" applyAlignment="1" applyFont="1" applyNumberFormat="1">
      <alignment horizontal="right" vertical="center"/>
    </xf>
    <xf borderId="5" fillId="4" fontId="4" numFmtId="166" xfId="0" applyAlignment="1" applyBorder="1" applyFont="1" applyNumberFormat="1">
      <alignment horizontal="right" vertical="center"/>
    </xf>
    <xf borderId="5" fillId="9" fontId="18" numFmtId="0" xfId="0" applyBorder="1" applyFont="1"/>
    <xf borderId="5" fillId="9" fontId="18" numFmtId="164" xfId="0" applyBorder="1" applyFont="1" applyNumberFormat="1"/>
    <xf borderId="5" fillId="6" fontId="18" numFmtId="0" xfId="0" applyBorder="1" applyFont="1"/>
    <xf borderId="5" fillId="6" fontId="18" numFmtId="164" xfId="0" applyBorder="1" applyFont="1" applyNumberFormat="1"/>
    <xf borderId="6" fillId="3" fontId="15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Font="1"/>
    <xf borderId="0" fillId="0" fontId="13" numFmtId="164" xfId="0" applyFont="1" applyNumberFormat="1"/>
    <xf borderId="6" fillId="3" fontId="11" numFmtId="0" xfId="0" applyBorder="1" applyFont="1"/>
    <xf borderId="6" fillId="3" fontId="4" numFmtId="164" xfId="0" applyAlignment="1" applyBorder="1" applyFont="1" applyNumberFormat="1">
      <alignment horizontal="right" vertical="center"/>
    </xf>
    <xf borderId="5" fillId="11" fontId="19" numFmtId="0" xfId="0" applyBorder="1" applyFill="1" applyFont="1"/>
    <xf borderId="5" fillId="11" fontId="4" numFmtId="0" xfId="0" applyBorder="1" applyFont="1"/>
    <xf borderId="5" fillId="11" fontId="19" numFmtId="164" xfId="0" applyAlignment="1" applyBorder="1" applyFont="1" applyNumberFormat="1">
      <alignment horizontal="right" vertical="center"/>
    </xf>
    <xf borderId="5" fillId="11" fontId="5" numFmtId="0" xfId="0" applyBorder="1" applyFont="1"/>
    <xf borderId="6" fillId="11" fontId="15" numFmtId="0" xfId="0" applyBorder="1" applyFont="1"/>
    <xf borderId="6" fillId="11" fontId="4" numFmtId="0" xfId="0" applyBorder="1" applyFont="1"/>
    <xf borderId="6" fillId="11" fontId="15" numFmtId="164" xfId="0" applyBorder="1" applyFont="1" applyNumberFormat="1"/>
    <xf borderId="6" fillId="7" fontId="15" numFmtId="0" xfId="0" applyBorder="1" applyFont="1"/>
    <xf borderId="6" fillId="7" fontId="4" numFmtId="0" xfId="0" applyBorder="1" applyFont="1"/>
    <xf borderId="6" fillId="7" fontId="15" numFmtId="164" xfId="0" applyBorder="1" applyFont="1" applyNumberFormat="1"/>
    <xf borderId="5" fillId="11" fontId="11" numFmtId="0" xfId="0" applyBorder="1" applyFont="1"/>
    <xf borderId="5" fillId="11" fontId="20" numFmtId="0" xfId="0" applyBorder="1" applyFont="1"/>
    <xf borderId="0" fillId="0" fontId="13" numFmtId="167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167" xfId="0" applyFont="1" applyNumberFormat="1"/>
    <xf borderId="0" fillId="12" fontId="13" numFmtId="0" xfId="0" applyFill="1" applyFont="1"/>
    <xf borderId="0" fillId="13" fontId="21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14658"/>
                </a:solidFill>
                <a:latin typeface="Montserrat"/>
              </a:defRPr>
            </a:pPr>
            <a:r>
              <a:rPr b="1" sz="1600">
                <a:solidFill>
                  <a:srgbClr val="414658"/>
                </a:solidFill>
                <a:latin typeface="Montserrat"/>
              </a:rPr>
              <a:t>Asset Allocation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Calc_Data!$D$2:$D$13</c:f>
            </c:strRef>
          </c:cat>
          <c:val>
            <c:numRef>
              <c:f>Calc_Data!$E$2:$E$13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14658"/>
                </a:solidFill>
                <a:latin typeface="Montserrat"/>
              </a:defRPr>
            </a:pPr>
            <a:r>
              <a:rPr b="1" sz="1600">
                <a:solidFill>
                  <a:srgbClr val="414658"/>
                </a:solidFill>
                <a:latin typeface="Montserrat"/>
              </a:rPr>
              <a:t>Cash Inflows vs Outflows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Calc_Data!$H$2</c:f>
            </c:strRef>
          </c:tx>
          <c:spPr>
            <a:solidFill>
              <a:srgbClr val="3EC08A"/>
            </a:solidFill>
            <a:ln cmpd="sng">
              <a:solidFill>
                <a:srgbClr val="000000"/>
              </a:solidFill>
            </a:ln>
          </c:spPr>
          <c:cat>
            <c:strRef>
              <c:f>Calc_Data!$G$3:$G$10</c:f>
            </c:strRef>
          </c:cat>
          <c:val>
            <c:numRef>
              <c:f>Calc_Data!$H$3:$H$10</c:f>
              <c:numCache/>
            </c:numRef>
          </c:val>
        </c:ser>
        <c:ser>
          <c:idx val="1"/>
          <c:order val="1"/>
          <c:tx>
            <c:strRef>
              <c:f>Calc_Data!$I$2</c:f>
            </c:strRef>
          </c:tx>
          <c:spPr>
            <a:solidFill>
              <a:srgbClr val="FF859A"/>
            </a:solidFill>
            <a:ln cmpd="sng">
              <a:solidFill>
                <a:srgbClr val="000000"/>
              </a:solidFill>
            </a:ln>
          </c:spPr>
          <c:cat>
            <c:strRef>
              <c:f>Calc_Data!$G$3:$G$10</c:f>
            </c:strRef>
          </c:cat>
          <c:val>
            <c:numRef>
              <c:f>Calc_Data!$I$3:$I$10</c:f>
              <c:numCache/>
            </c:numRef>
          </c:val>
        </c:ser>
        <c:axId val="1775075328"/>
        <c:axId val="77767967"/>
      </c:barChart>
      <c:catAx>
        <c:axId val="177507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67967"/>
      </c:catAx>
      <c:valAx>
        <c:axId val="77767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0753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14658"/>
                </a:solidFill>
                <a:latin typeface="Montserrat"/>
              </a:defRPr>
            </a:pPr>
            <a:r>
              <a:rPr b="1" sz="1600">
                <a:solidFill>
                  <a:srgbClr val="414658"/>
                </a:solidFill>
                <a:latin typeface="Montserrat"/>
              </a:rPr>
              <a:t>Liability Breakdown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Calc_Data!$L$2</c:f>
            </c:strRef>
          </c:tx>
          <c:spPr>
            <a:solidFill>
              <a:srgbClr val="4B5C92"/>
            </a:solidFill>
            <a:ln cmpd="sng">
              <a:solidFill>
                <a:srgbClr val="000000"/>
              </a:solidFill>
            </a:ln>
          </c:spPr>
          <c:cat>
            <c:strRef>
              <c:f>Calc_Data!$K$3:$K$4</c:f>
            </c:strRef>
          </c:cat>
          <c:val>
            <c:numRef>
              <c:f>Calc_Data!$L$3:$L$4</c:f>
              <c:numCache/>
            </c:numRef>
          </c:val>
        </c:ser>
        <c:axId val="1350540362"/>
        <c:axId val="670875092"/>
      </c:barChart>
      <c:catAx>
        <c:axId val="13505403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875092"/>
      </c:catAx>
      <c:valAx>
        <c:axId val="6708750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5403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14658"/>
                </a:solidFill>
                <a:latin typeface="Montserrat"/>
              </a:defRPr>
            </a:pPr>
            <a:r>
              <a:rPr b="1" sz="1600">
                <a:solidFill>
                  <a:srgbClr val="414658"/>
                </a:solidFill>
                <a:latin typeface="Montserrat"/>
              </a:rPr>
              <a:t>Income Breakdown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Calc_Data!$N$2:$N$7</c:f>
            </c:strRef>
          </c:cat>
          <c:val>
            <c:numRef>
              <c:f>Calc_Data!$O$2:$O$7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14658"/>
                </a:solidFill>
                <a:latin typeface="Montserrat"/>
              </a:defRPr>
            </a:pPr>
            <a:r>
              <a:rPr b="1" sz="1600">
                <a:solidFill>
                  <a:srgbClr val="414658"/>
                </a:solidFill>
                <a:latin typeface="Montserrat"/>
              </a:rPr>
              <a:t>Expense Breakdown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Calc_Data!$Q$2:$Q$5</c:f>
            </c:strRef>
          </c:cat>
          <c:val>
            <c:numRef>
              <c:f>Calc_Data!$R$2:$R$5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14658"/>
                </a:solidFill>
                <a:latin typeface="Montserrat"/>
              </a:defRPr>
            </a:pPr>
            <a:r>
              <a:rPr b="1" sz="1600">
                <a:solidFill>
                  <a:srgbClr val="414658"/>
                </a:solidFill>
                <a:latin typeface="Montserrat"/>
              </a:rPr>
              <a:t>Liquid vs Real Estate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Calc_Data!$T$2:$T$4</c:f>
            </c:strRef>
          </c:cat>
          <c:val>
            <c:numRef>
              <c:f>Calc_Data!$U$2:$U$4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Real Estate Portfolio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Calc_Data!$X$1</c:f>
            </c:strRef>
          </c:tx>
          <c:spPr>
            <a:solidFill>
              <a:srgbClr val="435D90"/>
            </a:solidFill>
            <a:ln cmpd="sng">
              <a:solidFill>
                <a:srgbClr val="000000"/>
              </a:solidFill>
            </a:ln>
          </c:spPr>
          <c:cat>
            <c:strRef>
              <c:f>Calc_Data!$W$2:$W$5</c:f>
            </c:strRef>
          </c:cat>
          <c:val>
            <c:numRef>
              <c:f>Calc_Data!$X$2:$X$5</c:f>
              <c:numCache/>
            </c:numRef>
          </c:val>
        </c:ser>
        <c:axId val="1509093507"/>
        <c:axId val="118345427"/>
      </c:barChart>
      <c:catAx>
        <c:axId val="15090935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Property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45427"/>
      </c:catAx>
      <c:valAx>
        <c:axId val="118345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0935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EMI Burden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Calc_Data!$Z$1:$Z$3</c:f>
            </c:strRef>
          </c:cat>
          <c:val>
            <c:numRef>
              <c:f>Calc_Data!$AA$1:$AA$3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Cash 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Calc_Data!$AD$1</c:f>
            </c:strRef>
          </c:tx>
          <c:spPr>
            <a:solidFill>
              <a:srgbClr val="3EBF8A"/>
            </a:solidFill>
            <a:ln cmpd="sng">
              <a:solidFill>
                <a:srgbClr val="000000"/>
              </a:solidFill>
            </a:ln>
          </c:spPr>
          <c:cat>
            <c:strRef>
              <c:f>Calc_Data!$AC$2:$AC$3</c:f>
            </c:strRef>
          </c:cat>
          <c:val>
            <c:numRef>
              <c:f>Calc_Data!$AD$2:$AD$3</c:f>
              <c:numCache/>
            </c:numRef>
          </c:val>
        </c:ser>
        <c:axId val="1565420834"/>
        <c:axId val="583210576"/>
      </c:barChart>
      <c:catAx>
        <c:axId val="1565420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210576"/>
      </c:catAx>
      <c:valAx>
        <c:axId val="583210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420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Liquid Assets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Calc_Data!$AF$1:$AF$8</c:f>
            </c:strRef>
          </c:cat>
          <c:val>
            <c:numRef>
              <c:f>Calc_Data!$AG$1:$AG$8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7.xml"/><Relationship Id="rId10" Type="http://schemas.openxmlformats.org/officeDocument/2006/relationships/chart" Target="../charts/chart6.xml"/><Relationship Id="rId13" Type="http://schemas.openxmlformats.org/officeDocument/2006/relationships/chart" Target="../charts/chart9.xml"/><Relationship Id="rId12" Type="http://schemas.openxmlformats.org/officeDocument/2006/relationships/chart" Target="../charts/chart8.xml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chart" Target="../charts/chart5.xml"/><Relationship Id="rId14" Type="http://schemas.openxmlformats.org/officeDocument/2006/relationships/chart" Target="../charts/chart10.xml"/><Relationship Id="rId5" Type="http://schemas.openxmlformats.org/officeDocument/2006/relationships/chart" Target="../charts/chart1.xml"/><Relationship Id="rId6" Type="http://schemas.openxmlformats.org/officeDocument/2006/relationships/chart" Target="../charts/chart2.xml"/><Relationship Id="rId7" Type="http://schemas.openxmlformats.org/officeDocument/2006/relationships/chart" Target="../charts/chart3.xml"/><Relationship Id="rId8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048000" cy="1333500"/>
    <xdr:pic>
      <xdr:nvPicPr>
        <xdr:cNvPr id="428261874" name="Chart1" title="NET WORTH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3048000" cy="1333500"/>
    <xdr:pic>
      <xdr:nvPicPr>
        <xdr:cNvPr id="1928390261" name="Chart2" title="TOTAL ASSET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3048000" cy="1333500"/>
    <xdr:pic>
      <xdr:nvPicPr>
        <xdr:cNvPr id="1803777946" name="Chart3" title="TOTAL LIABILITI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3048000" cy="1333500"/>
    <xdr:pic>
      <xdr:nvPicPr>
        <xdr:cNvPr id="734816574" name="Chart4" title="MONTHLY NET CASH FLOW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6191250" cy="3333750"/>
    <xdr:graphicFrame>
      <xdr:nvGraphicFramePr>
        <xdr:cNvPr id="5" name="Chart 5" title="Asset Alloc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0</xdr:colOff>
      <xdr:row>49</xdr:row>
      <xdr:rowOff>0</xdr:rowOff>
    </xdr:from>
    <xdr:ext cx="6191250" cy="3333750"/>
    <xdr:graphicFrame>
      <xdr:nvGraphicFramePr>
        <xdr:cNvPr id="6" name="Chart 6" title="Cash Inflows vs Outflow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0</xdr:colOff>
      <xdr:row>85</xdr:row>
      <xdr:rowOff>0</xdr:rowOff>
    </xdr:from>
    <xdr:ext cx="6191250" cy="3333750"/>
    <xdr:graphicFrame>
      <xdr:nvGraphicFramePr>
        <xdr:cNvPr id="7" name="Chart 7" title="Liability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0</xdr:colOff>
      <xdr:row>67</xdr:row>
      <xdr:rowOff>0</xdr:rowOff>
    </xdr:from>
    <xdr:ext cx="6191250" cy="3333750"/>
    <xdr:graphicFrame>
      <xdr:nvGraphicFramePr>
        <xdr:cNvPr id="8" name="Chart 8" title="Income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0</xdr:colOff>
      <xdr:row>67</xdr:row>
      <xdr:rowOff>0</xdr:rowOff>
    </xdr:from>
    <xdr:ext cx="6191250" cy="3333750"/>
    <xdr:graphicFrame>
      <xdr:nvGraphicFramePr>
        <xdr:cNvPr id="9" name="Chart 9" title="Expense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0</xdr:colOff>
      <xdr:row>13</xdr:row>
      <xdr:rowOff>0</xdr:rowOff>
    </xdr:from>
    <xdr:ext cx="6191250" cy="3333750"/>
    <xdr:graphicFrame>
      <xdr:nvGraphicFramePr>
        <xdr:cNvPr id="10" name="Chart 10" title="Liquid vs Real Esta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0</xdr:colOff>
      <xdr:row>31</xdr:row>
      <xdr:rowOff>0</xdr:rowOff>
    </xdr:from>
    <xdr:ext cx="6191250" cy="3333750"/>
    <xdr:graphicFrame>
      <xdr:nvGraphicFramePr>
        <xdr:cNvPr id="11" name="Chart 11" title="Real Estate Portfoli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0</xdr:colOff>
      <xdr:row>85</xdr:row>
      <xdr:rowOff>0</xdr:rowOff>
    </xdr:from>
    <xdr:ext cx="6191250" cy="3333750"/>
    <xdr:graphicFrame>
      <xdr:nvGraphicFramePr>
        <xdr:cNvPr id="12" name="Chart 12" title="Monthly EMI Burde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8</xdr:col>
      <xdr:colOff>0</xdr:colOff>
      <xdr:row>49</xdr:row>
      <xdr:rowOff>0</xdr:rowOff>
    </xdr:from>
    <xdr:ext cx="6191250" cy="3333750"/>
    <xdr:graphicFrame>
      <xdr:nvGraphicFramePr>
        <xdr:cNvPr id="13" name="Chart 13" title="Annual Cash Flo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</xdr:col>
      <xdr:colOff>0</xdr:colOff>
      <xdr:row>31</xdr:row>
      <xdr:rowOff>0</xdr:rowOff>
    </xdr:from>
    <xdr:ext cx="6191250" cy="3333750"/>
    <xdr:graphicFrame>
      <xdr:nvGraphicFramePr>
        <xdr:cNvPr id="14" name="Chart 14" title="Liquid Assets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5.0"/>
    <col customWidth="1" min="3" max="6" width="30.0"/>
    <col customWidth="1" min="7" max="26" width="8.71"/>
  </cols>
  <sheetData>
    <row r="1" ht="14.25" customHeight="1"/>
    <row r="2" ht="39.75" customHeight="1">
      <c r="B2" s="1" t="s">
        <v>0</v>
      </c>
    </row>
    <row r="3" ht="14.25" customHeight="1">
      <c r="B3" s="2" t="s">
        <v>1</v>
      </c>
    </row>
    <row r="4" ht="14.25" customHeight="1">
      <c r="B4" s="3" t="s">
        <v>2</v>
      </c>
    </row>
    <row r="5" ht="14.25" customHeight="1">
      <c r="B5" s="4"/>
      <c r="C5" s="4"/>
      <c r="D5" s="4"/>
      <c r="E5" s="4"/>
      <c r="F5" s="4"/>
    </row>
    <row r="6" ht="14.25" customHeight="1"/>
    <row r="7" ht="24.75" customHeight="1">
      <c r="B7" s="5" t="s">
        <v>3</v>
      </c>
      <c r="C7" s="6"/>
      <c r="D7" s="6"/>
      <c r="E7" s="6"/>
      <c r="F7" s="7"/>
    </row>
    <row r="8" ht="14.25" customHeight="1"/>
    <row r="9" ht="19.5" customHeight="1">
      <c r="B9" s="8" t="s">
        <v>4</v>
      </c>
      <c r="C9" s="8" t="s">
        <v>5</v>
      </c>
      <c r="D9" s="8" t="s">
        <v>6</v>
      </c>
      <c r="E9" s="8" t="s">
        <v>7</v>
      </c>
      <c r="F9" s="8" t="s">
        <v>8</v>
      </c>
    </row>
    <row r="10" ht="30.0" customHeight="1">
      <c r="B10" s="9">
        <f>Assets!D25</f>
        <v>39905750</v>
      </c>
      <c r="C10" s="9">
        <f>Liabilities!C15</f>
        <v>13640734</v>
      </c>
      <c r="D10" s="9">
        <f>B10-C10</f>
        <v>26265016</v>
      </c>
      <c r="E10" s="9">
        <f>'Cash Flow'!D22</f>
        <v>66206.08333</v>
      </c>
      <c r="F10" s="9">
        <f>'Cash Flow'!E22</f>
        <v>794473</v>
      </c>
    </row>
    <row r="11" ht="14.25" customHeight="1"/>
    <row r="12" ht="21.75" customHeight="1">
      <c r="B12" s="10" t="s">
        <v>9</v>
      </c>
      <c r="C12" s="6"/>
      <c r="D12" s="6"/>
      <c r="E12" s="6"/>
      <c r="F12" s="7"/>
    </row>
    <row r="13" ht="14.25" customHeight="1"/>
    <row r="14" ht="14.25" customHeight="1">
      <c r="B14" s="11" t="s">
        <v>10</v>
      </c>
      <c r="C14" s="11"/>
      <c r="D14" s="11"/>
      <c r="E14" s="12">
        <f>Assets!D14</f>
        <v>18005750</v>
      </c>
    </row>
    <row r="15" ht="14.25" customHeight="1">
      <c r="B15" s="13" t="s">
        <v>11</v>
      </c>
      <c r="E15" s="14">
        <f>Assets!D23</f>
        <v>21900000</v>
      </c>
    </row>
    <row r="16" ht="14.25" customHeight="1">
      <c r="B16" s="11" t="s">
        <v>12</v>
      </c>
      <c r="C16" s="11"/>
      <c r="D16" s="11"/>
      <c r="E16" s="12">
        <f>'Income Statement'!D12</f>
        <v>391441.0833</v>
      </c>
    </row>
    <row r="17" ht="14.25" customHeight="1">
      <c r="B17" s="13" t="s">
        <v>13</v>
      </c>
      <c r="E17" s="14">
        <f>'Cash Flow'!D19</f>
        <v>325235</v>
      </c>
    </row>
    <row r="18" ht="14.25" customHeight="1">
      <c r="B18" s="11" t="s">
        <v>14</v>
      </c>
      <c r="C18" s="11"/>
      <c r="D18" s="11"/>
      <c r="E18" s="15">
        <f>C10/B10</f>
        <v>0.3418237723</v>
      </c>
    </row>
    <row r="19" ht="14.25" customHeight="1">
      <c r="B19" s="13" t="s">
        <v>15</v>
      </c>
      <c r="E19" s="16">
        <f>E14/E17</f>
        <v>55.36227651</v>
      </c>
    </row>
    <row r="20" ht="14.25" customHeight="1"/>
    <row r="21" ht="14.25" customHeight="1"/>
    <row r="22" ht="21.75" customHeight="1">
      <c r="B22" s="10" t="s">
        <v>16</v>
      </c>
      <c r="C22" s="6"/>
      <c r="D22" s="6"/>
      <c r="E22" s="6"/>
      <c r="F22" s="7"/>
    </row>
    <row r="23" ht="14.25" customHeight="1"/>
    <row r="24" ht="14.25" customHeight="1">
      <c r="B24" s="17" t="s">
        <v>17</v>
      </c>
      <c r="C24" s="18" t="s">
        <v>18</v>
      </c>
      <c r="D24" s="6"/>
      <c r="E24" s="6"/>
      <c r="F24" s="7"/>
    </row>
    <row r="25" ht="14.25" customHeight="1">
      <c r="B25" s="19" t="s">
        <v>19</v>
      </c>
      <c r="C25" s="20" t="s">
        <v>20</v>
      </c>
      <c r="D25" s="6"/>
      <c r="E25" s="6"/>
      <c r="F25" s="7"/>
    </row>
    <row r="26" ht="14.25" customHeight="1">
      <c r="B26" s="21" t="s">
        <v>21</v>
      </c>
      <c r="C26" s="13" t="s">
        <v>22</v>
      </c>
    </row>
    <row r="27" ht="14.25" customHeight="1">
      <c r="B27" s="19" t="s">
        <v>23</v>
      </c>
      <c r="C27" s="20" t="s">
        <v>24</v>
      </c>
      <c r="D27" s="6"/>
      <c r="E27" s="6"/>
      <c r="F27" s="7"/>
    </row>
    <row r="28" ht="14.25" customHeight="1">
      <c r="B28" s="21" t="s">
        <v>25</v>
      </c>
      <c r="C28" s="13" t="s">
        <v>26</v>
      </c>
    </row>
    <row r="29" ht="14.25" customHeight="1">
      <c r="B29" s="19" t="s">
        <v>27</v>
      </c>
      <c r="C29" s="20" t="s">
        <v>28</v>
      </c>
      <c r="D29" s="6"/>
      <c r="E29" s="6"/>
      <c r="F29" s="7"/>
    </row>
    <row r="30" ht="14.25" customHeight="1">
      <c r="B30" s="21" t="s">
        <v>29</v>
      </c>
      <c r="C30" s="13" t="s">
        <v>30</v>
      </c>
    </row>
    <row r="31" ht="14.25" customHeight="1"/>
    <row r="32" ht="14.25" customHeight="1"/>
    <row r="33" ht="21.75" customHeight="1">
      <c r="B33" s="10" t="s">
        <v>31</v>
      </c>
      <c r="C33" s="6"/>
      <c r="D33" s="6"/>
      <c r="E33" s="6"/>
      <c r="F33" s="7"/>
    </row>
    <row r="34" ht="14.25" customHeight="1"/>
    <row r="35" ht="14.25" customHeight="1">
      <c r="B35" s="22" t="s">
        <v>32</v>
      </c>
    </row>
    <row r="36" ht="14.25" customHeight="1">
      <c r="B36" s="22" t="s">
        <v>33</v>
      </c>
    </row>
    <row r="37" ht="14.25" customHeight="1">
      <c r="B37" s="22" t="s">
        <v>34</v>
      </c>
    </row>
    <row r="38" ht="14.25" customHeight="1">
      <c r="B38" s="22" t="s">
        <v>35</v>
      </c>
    </row>
    <row r="39" ht="14.25" customHeight="1">
      <c r="B39" s="22" t="s">
        <v>36</v>
      </c>
    </row>
    <row r="40" ht="14.25" customHeight="1">
      <c r="B40" s="22" t="s">
        <v>37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2:F2"/>
    <mergeCell ref="B3:F3"/>
    <mergeCell ref="B4:F4"/>
    <mergeCell ref="B7:F7"/>
    <mergeCell ref="B12:F12"/>
    <mergeCell ref="B22:F22"/>
    <mergeCell ref="C24:F24"/>
    <mergeCell ref="B35:F35"/>
    <mergeCell ref="B36:F36"/>
    <mergeCell ref="B37:F37"/>
    <mergeCell ref="B38:F38"/>
    <mergeCell ref="B39:F39"/>
    <mergeCell ref="B40:F40"/>
    <mergeCell ref="C25:F25"/>
    <mergeCell ref="C26:F26"/>
    <mergeCell ref="C27:F27"/>
    <mergeCell ref="C28:F28"/>
    <mergeCell ref="C29:F29"/>
    <mergeCell ref="C30:F30"/>
    <mergeCell ref="B33:F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0.0"/>
    <col customWidth="1" min="4" max="5" width="22.0"/>
    <col customWidth="1" min="6" max="6" width="48.43"/>
    <col customWidth="1" min="7" max="26" width="8.71"/>
  </cols>
  <sheetData>
    <row r="1" ht="14.25" customHeight="1"/>
    <row r="2" ht="34.5" customHeight="1">
      <c r="B2" s="1" t="s">
        <v>38</v>
      </c>
      <c r="H2" s="23"/>
    </row>
    <row r="3" ht="14.25" customHeight="1">
      <c r="B3" s="24" t="s">
        <v>39</v>
      </c>
    </row>
    <row r="4" ht="14.25" customHeight="1"/>
    <row r="5" ht="19.5" customHeight="1">
      <c r="B5" s="10" t="s">
        <v>40</v>
      </c>
      <c r="C5" s="6"/>
      <c r="D5" s="6"/>
      <c r="E5" s="6"/>
      <c r="F5" s="7"/>
    </row>
    <row r="6" ht="19.5" customHeight="1">
      <c r="B6" s="25" t="s">
        <v>41</v>
      </c>
      <c r="C6" s="25" t="s">
        <v>42</v>
      </c>
      <c r="D6" s="25" t="s">
        <v>43</v>
      </c>
      <c r="E6" s="25" t="s">
        <v>44</v>
      </c>
      <c r="F6" s="25" t="s">
        <v>45</v>
      </c>
    </row>
    <row r="7" ht="19.5" customHeight="1">
      <c r="B7" s="26" t="s">
        <v>46</v>
      </c>
      <c r="C7" s="27" t="s">
        <v>47</v>
      </c>
      <c r="D7" s="12">
        <v>1000000.0</v>
      </c>
      <c r="E7" s="28">
        <f>D7/D25</f>
        <v>0.02505904538</v>
      </c>
      <c r="F7" s="29" t="s">
        <v>48</v>
      </c>
    </row>
    <row r="8" ht="19.5" customHeight="1">
      <c r="B8" s="30" t="s">
        <v>49</v>
      </c>
      <c r="C8" s="31" t="s">
        <v>50</v>
      </c>
      <c r="D8" s="14">
        <v>1237200.0</v>
      </c>
      <c r="E8" s="32">
        <f>D8/D25</f>
        <v>0.03100305094</v>
      </c>
      <c r="F8" s="22" t="s">
        <v>51</v>
      </c>
    </row>
    <row r="9" ht="19.5" customHeight="1">
      <c r="B9" s="26" t="s">
        <v>52</v>
      </c>
      <c r="C9" s="27" t="s">
        <v>53</v>
      </c>
      <c r="D9" s="12">
        <v>927900.0</v>
      </c>
      <c r="E9" s="28">
        <f>D9/D25</f>
        <v>0.0232522882</v>
      </c>
      <c r="F9" s="29" t="s">
        <v>54</v>
      </c>
    </row>
    <row r="10" ht="19.5" customHeight="1">
      <c r="B10" s="30" t="s">
        <v>55</v>
      </c>
      <c r="C10" s="31" t="s">
        <v>53</v>
      </c>
      <c r="D10" s="14">
        <v>927900.0</v>
      </c>
      <c r="E10" s="32">
        <f>D10/D25</f>
        <v>0.0232522882</v>
      </c>
      <c r="F10" s="22" t="s">
        <v>54</v>
      </c>
    </row>
    <row r="11" ht="19.5" customHeight="1">
      <c r="B11" s="26" t="s">
        <v>56</v>
      </c>
      <c r="C11" s="27" t="s">
        <v>57</v>
      </c>
      <c r="D11" s="12">
        <v>3500000.0</v>
      </c>
      <c r="E11" s="28">
        <f>D11/D25</f>
        <v>0.08770665881</v>
      </c>
      <c r="F11" s="29" t="s">
        <v>58</v>
      </c>
    </row>
    <row r="12" ht="19.5" customHeight="1">
      <c r="B12" s="30" t="s">
        <v>59</v>
      </c>
      <c r="C12" s="31" t="s">
        <v>60</v>
      </c>
      <c r="D12" s="14">
        <v>5412750.0</v>
      </c>
      <c r="E12" s="32">
        <f>D12/D25</f>
        <v>0.1356383479</v>
      </c>
      <c r="F12" s="22" t="s">
        <v>61</v>
      </c>
    </row>
    <row r="13" ht="19.5" customHeight="1">
      <c r="B13" s="26" t="s">
        <v>62</v>
      </c>
      <c r="C13" s="27" t="s">
        <v>63</v>
      </c>
      <c r="D13" s="12">
        <v>5000000.0</v>
      </c>
      <c r="E13" s="28">
        <f>D13/D25</f>
        <v>0.1252952269</v>
      </c>
      <c r="F13" s="29" t="s">
        <v>64</v>
      </c>
    </row>
    <row r="14" ht="19.5" customHeight="1">
      <c r="B14" s="33" t="s">
        <v>65</v>
      </c>
      <c r="C14" s="34"/>
      <c r="D14" s="35">
        <f>SUM(D7:D13)</f>
        <v>18005750</v>
      </c>
      <c r="E14" s="34"/>
      <c r="F14" s="34"/>
    </row>
    <row r="15" ht="19.5" customHeight="1"/>
    <row r="16" ht="19.5" customHeight="1">
      <c r="B16" s="10" t="s">
        <v>66</v>
      </c>
      <c r="C16" s="6"/>
      <c r="D16" s="6"/>
      <c r="E16" s="6"/>
      <c r="F16" s="7"/>
    </row>
    <row r="17" ht="19.5" customHeight="1">
      <c r="B17" s="25" t="s">
        <v>67</v>
      </c>
      <c r="C17" s="25" t="s">
        <v>68</v>
      </c>
      <c r="D17" s="25" t="s">
        <v>69</v>
      </c>
      <c r="E17" s="25" t="s">
        <v>44</v>
      </c>
      <c r="F17" s="25" t="s">
        <v>70</v>
      </c>
    </row>
    <row r="18" ht="19.5" customHeight="1">
      <c r="B18" s="11" t="s">
        <v>71</v>
      </c>
      <c r="C18" s="27" t="s">
        <v>72</v>
      </c>
      <c r="D18" s="12">
        <f>'Income Statement'!F8 / 0.035</f>
        <v>8400000</v>
      </c>
      <c r="E18" s="28">
        <f>D18/D25</f>
        <v>0.2104959812</v>
      </c>
      <c r="F18" s="29" t="s">
        <v>73</v>
      </c>
    </row>
    <row r="19" ht="19.5" customHeight="1">
      <c r="B19" s="13" t="s">
        <v>74</v>
      </c>
      <c r="C19" s="31" t="s">
        <v>75</v>
      </c>
      <c r="D19" s="14">
        <v>5000000.0</v>
      </c>
      <c r="E19" s="32">
        <f>D19/D25</f>
        <v>0.1252952269</v>
      </c>
      <c r="F19" s="22" t="s">
        <v>76</v>
      </c>
    </row>
    <row r="20" ht="19.5" customHeight="1">
      <c r="B20" s="11" t="s">
        <v>77</v>
      </c>
      <c r="C20" s="27" t="s">
        <v>75</v>
      </c>
      <c r="D20" s="12">
        <v>5000000.0</v>
      </c>
      <c r="E20" s="28">
        <f>D20/D25</f>
        <v>0.1252952269</v>
      </c>
      <c r="F20" s="29" t="s">
        <v>76</v>
      </c>
    </row>
    <row r="21" ht="19.5" customHeight="1">
      <c r="B21" s="13" t="s">
        <v>78</v>
      </c>
      <c r="C21" s="31" t="s">
        <v>79</v>
      </c>
      <c r="D21" s="14">
        <v>3500000.0</v>
      </c>
      <c r="E21" s="32">
        <f>D21/D25</f>
        <v>0.08770665881</v>
      </c>
      <c r="F21" s="22" t="s">
        <v>76</v>
      </c>
    </row>
    <row r="22" ht="19.5" customHeight="1">
      <c r="B22" s="11" t="s">
        <v>80</v>
      </c>
      <c r="C22" s="27" t="s">
        <v>81</v>
      </c>
      <c r="D22" s="36" t="s">
        <v>82</v>
      </c>
      <c r="E22" s="27" t="s">
        <v>82</v>
      </c>
      <c r="F22" s="29" t="s">
        <v>83</v>
      </c>
    </row>
    <row r="23" ht="19.5" customHeight="1">
      <c r="B23" s="33" t="s">
        <v>84</v>
      </c>
      <c r="C23" s="34"/>
      <c r="D23" s="35">
        <f>SUM(D18:D22)</f>
        <v>21900000</v>
      </c>
      <c r="E23" s="34"/>
      <c r="F23" s="34"/>
    </row>
    <row r="24" ht="19.5" customHeight="1"/>
    <row r="25" ht="19.5" customHeight="1">
      <c r="B25" s="37" t="s">
        <v>85</v>
      </c>
      <c r="C25" s="38"/>
      <c r="D25" s="39">
        <f>D14+D23</f>
        <v>39905750</v>
      </c>
      <c r="E25" s="38"/>
      <c r="F25" s="3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F2"/>
    <mergeCell ref="B3:F3"/>
    <mergeCell ref="B5:F5"/>
    <mergeCell ref="B16:F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2.0"/>
    <col customWidth="1" min="4" max="4" width="18.0"/>
    <col customWidth="1" min="5" max="5" width="16.0"/>
    <col customWidth="1" min="6" max="6" width="18.0"/>
    <col customWidth="1" min="7" max="7" width="33.0"/>
    <col customWidth="1" min="8" max="26" width="8.71"/>
  </cols>
  <sheetData>
    <row r="1" ht="14.25" customHeight="1"/>
    <row r="2" ht="34.5" customHeight="1">
      <c r="B2" s="1" t="s">
        <v>86</v>
      </c>
    </row>
    <row r="3" ht="14.25" customHeight="1">
      <c r="B3" s="24" t="s">
        <v>39</v>
      </c>
    </row>
    <row r="4" ht="14.25" customHeight="1"/>
    <row r="5" ht="24.75" customHeight="1">
      <c r="B5" s="10" t="s">
        <v>87</v>
      </c>
      <c r="C5" s="6"/>
      <c r="D5" s="6"/>
      <c r="E5" s="6"/>
      <c r="F5" s="6"/>
      <c r="G5" s="7"/>
    </row>
    <row r="6" ht="14.25" customHeight="1">
      <c r="B6" s="25" t="s">
        <v>88</v>
      </c>
      <c r="C6" s="25" t="s">
        <v>89</v>
      </c>
      <c r="D6" s="25" t="s">
        <v>90</v>
      </c>
      <c r="E6" s="25" t="s">
        <v>91</v>
      </c>
      <c r="F6" s="25" t="s">
        <v>92</v>
      </c>
      <c r="G6" s="25" t="s">
        <v>93</v>
      </c>
    </row>
    <row r="7" ht="14.25" customHeight="1">
      <c r="B7" s="11" t="s">
        <v>94</v>
      </c>
      <c r="C7" s="12">
        <v>600000.0</v>
      </c>
      <c r="D7" s="12">
        <v>31400.0</v>
      </c>
      <c r="E7" s="27" t="s">
        <v>95</v>
      </c>
      <c r="F7" s="40">
        <v>376800.0</v>
      </c>
      <c r="G7" s="29" t="s">
        <v>96</v>
      </c>
    </row>
    <row r="8" ht="14.25" customHeight="1">
      <c r="B8" s="13" t="s">
        <v>97</v>
      </c>
      <c r="C8" s="14">
        <v>7540734.0</v>
      </c>
      <c r="D8" s="14">
        <v>159289.5</v>
      </c>
      <c r="E8" s="31" t="s">
        <v>98</v>
      </c>
      <c r="F8" s="41">
        <v>7645896.0</v>
      </c>
      <c r="G8" s="22" t="s">
        <v>99</v>
      </c>
    </row>
    <row r="9" ht="14.25" customHeight="1">
      <c r="B9" s="33" t="s">
        <v>100</v>
      </c>
      <c r="C9" s="35">
        <f t="shared" ref="C9:D9" si="1">SUM(C7:C8)</f>
        <v>8140734</v>
      </c>
      <c r="D9" s="35">
        <f t="shared" si="1"/>
        <v>190689.5</v>
      </c>
      <c r="E9" s="34"/>
      <c r="F9" s="35">
        <f>SUM(F7:F8)</f>
        <v>8022696</v>
      </c>
      <c r="G9" s="34"/>
    </row>
    <row r="10" ht="14.25" customHeight="1"/>
    <row r="11" ht="24.75" customHeight="1">
      <c r="B11" s="42" t="s">
        <v>101</v>
      </c>
      <c r="C11" s="6"/>
      <c r="D11" s="6"/>
      <c r="E11" s="6"/>
      <c r="F11" s="6"/>
      <c r="G11" s="7"/>
    </row>
    <row r="12" ht="14.25" customHeight="1">
      <c r="B12" s="43" t="s">
        <v>102</v>
      </c>
      <c r="C12" s="43" t="s">
        <v>103</v>
      </c>
      <c r="D12" s="43" t="s">
        <v>104</v>
      </c>
      <c r="E12" s="43" t="s">
        <v>105</v>
      </c>
      <c r="F12" s="43" t="s">
        <v>106</v>
      </c>
      <c r="G12" s="43" t="s">
        <v>45</v>
      </c>
    </row>
    <row r="13" ht="14.25" customHeight="1">
      <c r="B13" s="44" t="s">
        <v>107</v>
      </c>
      <c r="C13" s="45">
        <v>5500000.0</v>
      </c>
      <c r="D13" s="46" t="s">
        <v>108</v>
      </c>
      <c r="E13" s="47" t="s">
        <v>109</v>
      </c>
      <c r="F13" s="47" t="s">
        <v>110</v>
      </c>
      <c r="G13" s="48" t="s">
        <v>111</v>
      </c>
    </row>
    <row r="14" ht="14.25" customHeight="1"/>
    <row r="15" ht="14.25" customHeight="1">
      <c r="B15" s="37" t="s">
        <v>112</v>
      </c>
      <c r="C15" s="39">
        <f>C9+C13</f>
        <v>13640734</v>
      </c>
      <c r="D15" s="39">
        <f>D9</f>
        <v>190689.5</v>
      </c>
      <c r="E15" s="38"/>
      <c r="F15" s="38"/>
      <c r="G15" s="38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G2"/>
    <mergeCell ref="B3:G3"/>
    <mergeCell ref="B5:G5"/>
    <mergeCell ref="B11:G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3" width="22.0"/>
    <col customWidth="1" min="4" max="4" width="5.0"/>
    <col customWidth="1" min="5" max="5" width="42.0"/>
    <col customWidth="1" min="6" max="6" width="22.0"/>
    <col customWidth="1" min="7" max="26" width="8.71"/>
  </cols>
  <sheetData>
    <row r="1" ht="14.25" customHeight="1"/>
    <row r="2" ht="34.5" customHeight="1">
      <c r="B2" s="1" t="s">
        <v>113</v>
      </c>
    </row>
    <row r="3" ht="14.25" customHeight="1">
      <c r="B3" s="24" t="s">
        <v>114</v>
      </c>
    </row>
    <row r="4" ht="14.25" customHeight="1"/>
    <row r="5" ht="19.5" customHeight="1">
      <c r="B5" s="49" t="s">
        <v>115</v>
      </c>
      <c r="C5" s="7"/>
      <c r="E5" s="50" t="s">
        <v>116</v>
      </c>
      <c r="F5" s="7"/>
    </row>
    <row r="6" ht="19.5" customHeight="1"/>
    <row r="7" ht="19.5" customHeight="1">
      <c r="B7" s="51" t="s">
        <v>117</v>
      </c>
      <c r="C7" s="52"/>
      <c r="E7" s="53" t="s">
        <v>118</v>
      </c>
      <c r="F7" s="44"/>
    </row>
    <row r="8" ht="19.5" customHeight="1">
      <c r="B8" s="11" t="s">
        <v>119</v>
      </c>
      <c r="C8" s="12">
        <f>Assets!D7</f>
        <v>1000000</v>
      </c>
      <c r="E8" s="11" t="s">
        <v>120</v>
      </c>
      <c r="F8" s="12">
        <f>Liabilities!C7</f>
        <v>600000</v>
      </c>
    </row>
    <row r="9" ht="19.5" customHeight="1">
      <c r="B9" s="13" t="s">
        <v>49</v>
      </c>
      <c r="C9" s="14">
        <f>Assets!D8</f>
        <v>1237200</v>
      </c>
      <c r="E9" s="13" t="s">
        <v>121</v>
      </c>
      <c r="F9" s="14">
        <f>Liabilities!C8</f>
        <v>7540734</v>
      </c>
    </row>
    <row r="10" ht="19.5" customHeight="1"/>
    <row r="11" ht="19.5" customHeight="1"/>
    <row r="12" ht="19.5" customHeight="1"/>
    <row r="13" ht="19.5" customHeight="1"/>
    <row r="14" ht="19.5" customHeight="1"/>
    <row r="15" ht="19.5" customHeight="1">
      <c r="B15" s="33" t="s">
        <v>122</v>
      </c>
      <c r="C15" s="35">
        <f>SUM(C8:C14)</f>
        <v>2237200</v>
      </c>
      <c r="E15" s="53" t="s">
        <v>123</v>
      </c>
      <c r="F15" s="44"/>
    </row>
    <row r="16" ht="19.5" customHeight="1">
      <c r="E16" s="44" t="s">
        <v>107</v>
      </c>
      <c r="F16" s="45">
        <f>Liabilities!C13</f>
        <v>5500000</v>
      </c>
    </row>
    <row r="17" ht="19.5" customHeight="1">
      <c r="E17" s="33" t="s">
        <v>124</v>
      </c>
      <c r="F17" s="35">
        <f>F16</f>
        <v>5500000</v>
      </c>
    </row>
    <row r="18" ht="19.5" customHeight="1">
      <c r="E18" s="54" t="s">
        <v>112</v>
      </c>
      <c r="F18" s="55">
        <f>SUM(F8:F9)+F16</f>
        <v>13640734</v>
      </c>
    </row>
    <row r="19" ht="19.5" customHeight="1">
      <c r="B19" s="51" t="s">
        <v>125</v>
      </c>
      <c r="C19" s="52"/>
    </row>
    <row r="20" ht="19.5" customHeight="1">
      <c r="B20" s="11" t="s">
        <v>126</v>
      </c>
      <c r="C20" s="12">
        <f>Assets!D18</f>
        <v>8400000</v>
      </c>
      <c r="E20" s="51" t="s">
        <v>127</v>
      </c>
      <c r="F20" s="52"/>
    </row>
    <row r="21" ht="19.5" customHeight="1">
      <c r="B21" s="11" t="s">
        <v>128</v>
      </c>
      <c r="C21" s="12">
        <f>Assets!D19</f>
        <v>5000000</v>
      </c>
      <c r="E21" s="13" t="s">
        <v>14</v>
      </c>
      <c r="F21" s="56">
        <f>F18/C26</f>
        <v>0.5651332383</v>
      </c>
    </row>
    <row r="22" ht="19.5" customHeight="1">
      <c r="B22" s="13" t="s">
        <v>129</v>
      </c>
      <c r="C22" s="12">
        <f>Assets!D20</f>
        <v>5000000</v>
      </c>
      <c r="E22" s="11" t="s">
        <v>130</v>
      </c>
      <c r="F22" s="57">
        <f>C15/C26</f>
        <v>0.09268680709</v>
      </c>
    </row>
    <row r="23" ht="19.5" customHeight="1">
      <c r="B23" s="11" t="s">
        <v>131</v>
      </c>
      <c r="C23" s="12">
        <f>Assets!D21</f>
        <v>3500000</v>
      </c>
      <c r="E23" s="13" t="s">
        <v>132</v>
      </c>
      <c r="F23" s="56">
        <f>C24/C26</f>
        <v>0.9073131929</v>
      </c>
    </row>
    <row r="24" ht="19.5" customHeight="1">
      <c r="B24" s="33" t="s">
        <v>133</v>
      </c>
      <c r="C24" s="35">
        <f>SUM(C20:C23)</f>
        <v>21900000</v>
      </c>
      <c r="E24" s="11" t="s">
        <v>134</v>
      </c>
      <c r="F24" s="57">
        <f>C28/C26</f>
        <v>0.4348667617</v>
      </c>
    </row>
    <row r="25" ht="19.5" customHeight="1"/>
    <row r="26" ht="19.5" customHeight="1">
      <c r="B26" s="58" t="s">
        <v>85</v>
      </c>
      <c r="C26" s="59">
        <f>C15+C24</f>
        <v>24137200</v>
      </c>
    </row>
    <row r="27" ht="19.5" customHeight="1"/>
    <row r="28" ht="19.5" customHeight="1">
      <c r="B28" s="60" t="s">
        <v>135</v>
      </c>
      <c r="C28" s="61">
        <f>C26-F18</f>
        <v>10496466</v>
      </c>
    </row>
    <row r="29" ht="19.5" customHeight="1"/>
    <row r="30" ht="19.5" customHeight="1"/>
    <row r="31" ht="19.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F2"/>
    <mergeCell ref="B3:F3"/>
    <mergeCell ref="B5:C5"/>
    <mergeCell ref="E5:F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5" width="22.0"/>
    <col customWidth="1" min="6" max="6" width="35.0"/>
    <col customWidth="1" min="7" max="7" width="36.57"/>
    <col customWidth="1" min="8" max="26" width="8.71"/>
  </cols>
  <sheetData>
    <row r="1" ht="14.25" customHeight="1"/>
    <row r="2" ht="34.5" customHeight="1">
      <c r="B2" s="1" t="s">
        <v>136</v>
      </c>
    </row>
    <row r="3" ht="14.25" customHeight="1">
      <c r="B3" s="24" t="s">
        <v>137</v>
      </c>
    </row>
    <row r="4" ht="14.25" customHeight="1"/>
    <row r="5" ht="19.5" customHeight="1">
      <c r="B5" s="10" t="s">
        <v>138</v>
      </c>
      <c r="C5" s="6"/>
      <c r="D5" s="6"/>
      <c r="E5" s="6"/>
      <c r="F5" s="7"/>
    </row>
    <row r="6" ht="19.5" customHeight="1">
      <c r="B6" s="25" t="s">
        <v>139</v>
      </c>
      <c r="C6" s="25" t="s">
        <v>42</v>
      </c>
      <c r="D6" s="25" t="s">
        <v>140</v>
      </c>
      <c r="E6" s="25" t="s">
        <v>44</v>
      </c>
      <c r="F6" s="25" t="s">
        <v>141</v>
      </c>
      <c r="G6" s="25" t="s">
        <v>45</v>
      </c>
    </row>
    <row r="7" ht="19.5" customHeight="1">
      <c r="B7" s="11" t="s">
        <v>142</v>
      </c>
      <c r="C7" s="27" t="s">
        <v>143</v>
      </c>
      <c r="D7" s="12">
        <v>355695.0</v>
      </c>
      <c r="E7" s="28">
        <f>D7/D12</f>
        <v>0.9086808083</v>
      </c>
      <c r="F7" s="40">
        <f t="shared" ref="F7:F11" si="1">D7*12</f>
        <v>4268340</v>
      </c>
      <c r="G7" s="29" t="s">
        <v>144</v>
      </c>
    </row>
    <row r="8" ht="19.5" customHeight="1">
      <c r="B8" s="13" t="s">
        <v>145</v>
      </c>
      <c r="C8" s="31" t="s">
        <v>146</v>
      </c>
      <c r="D8" s="14">
        <v>24500.0</v>
      </c>
      <c r="E8" s="32">
        <f>D8/D12</f>
        <v>0.06258924023</v>
      </c>
      <c r="F8" s="41">
        <f t="shared" si="1"/>
        <v>294000</v>
      </c>
      <c r="G8" s="22" t="s">
        <v>147</v>
      </c>
    </row>
    <row r="9" ht="19.5" customHeight="1">
      <c r="B9" s="11" t="s">
        <v>148</v>
      </c>
      <c r="C9" s="27" t="s">
        <v>149</v>
      </c>
      <c r="D9" s="12">
        <v>5833.33333333333</v>
      </c>
      <c r="E9" s="28">
        <f>D9/D12</f>
        <v>0.01490220005</v>
      </c>
      <c r="F9" s="40">
        <f t="shared" si="1"/>
        <v>70000</v>
      </c>
      <c r="G9" s="29" t="s">
        <v>150</v>
      </c>
    </row>
    <row r="10" ht="19.5" customHeight="1">
      <c r="B10" s="13" t="s">
        <v>151</v>
      </c>
      <c r="C10" s="31" t="s">
        <v>152</v>
      </c>
      <c r="D10" s="14">
        <v>2706.375</v>
      </c>
      <c r="E10" s="32">
        <f>D10/D12</f>
        <v>0.006913875715</v>
      </c>
      <c r="F10" s="41">
        <f t="shared" si="1"/>
        <v>32476.5</v>
      </c>
      <c r="G10" s="22" t="s">
        <v>150</v>
      </c>
    </row>
    <row r="11" ht="19.5" customHeight="1">
      <c r="B11" s="11" t="s">
        <v>153</v>
      </c>
      <c r="C11" s="27" t="s">
        <v>152</v>
      </c>
      <c r="D11" s="12">
        <v>2706.375</v>
      </c>
      <c r="E11" s="28">
        <f>D11/D12</f>
        <v>0.006913875715</v>
      </c>
      <c r="F11" s="40">
        <f t="shared" si="1"/>
        <v>32476.5</v>
      </c>
      <c r="G11" s="29" t="s">
        <v>150</v>
      </c>
    </row>
    <row r="12" ht="19.5" customHeight="1">
      <c r="B12" s="33" t="s">
        <v>154</v>
      </c>
      <c r="C12" s="34"/>
      <c r="D12" s="35">
        <f>SUM(D7:D11)</f>
        <v>391441.0833</v>
      </c>
      <c r="E12" s="62" t="s">
        <v>155</v>
      </c>
      <c r="F12" s="35">
        <f>SUM(F7:F11)</f>
        <v>4697293</v>
      </c>
      <c r="G12" s="34"/>
    </row>
    <row r="13" ht="19.5" customHeight="1"/>
    <row r="14" ht="19.5" customHeight="1">
      <c r="B14" s="10" t="s">
        <v>156</v>
      </c>
      <c r="C14" s="6"/>
      <c r="D14" s="6"/>
      <c r="E14" s="6"/>
      <c r="F14" s="7"/>
    </row>
    <row r="15" ht="19.5" customHeight="1">
      <c r="B15" s="25" t="s">
        <v>157</v>
      </c>
      <c r="C15" s="25"/>
      <c r="D15" s="25" t="s">
        <v>158</v>
      </c>
      <c r="E15" s="25"/>
      <c r="F15" s="25" t="s">
        <v>159</v>
      </c>
      <c r="G15" s="25" t="s">
        <v>45</v>
      </c>
    </row>
    <row r="16" ht="19.5" customHeight="1">
      <c r="B16" s="13" t="s">
        <v>160</v>
      </c>
      <c r="D16" s="14">
        <v>400000.0</v>
      </c>
      <c r="F16" s="41">
        <f>D16/12</f>
        <v>33333.33333</v>
      </c>
      <c r="G16" s="22" t="s">
        <v>161</v>
      </c>
    </row>
    <row r="17" ht="19.5" customHeight="1">
      <c r="B17" s="13" t="s">
        <v>162</v>
      </c>
      <c r="D17" s="63" t="s">
        <v>163</v>
      </c>
      <c r="G17" s="22" t="s">
        <v>164</v>
      </c>
    </row>
    <row r="18" ht="19.5" customHeight="1"/>
    <row r="19" ht="19.5" customHeight="1">
      <c r="B19" s="10" t="s">
        <v>165</v>
      </c>
      <c r="C19" s="6"/>
      <c r="D19" s="6"/>
      <c r="E19" s="6"/>
      <c r="F19" s="7"/>
    </row>
    <row r="20" ht="19.5" customHeight="1">
      <c r="B20" s="21" t="s">
        <v>166</v>
      </c>
      <c r="D20" s="41">
        <f>F12</f>
        <v>4697293</v>
      </c>
    </row>
    <row r="21" ht="19.5" customHeight="1">
      <c r="B21" s="21" t="s">
        <v>167</v>
      </c>
      <c r="D21" s="41">
        <f>(515*309.3+31400)*12</f>
        <v>2288274</v>
      </c>
    </row>
    <row r="22" ht="19.5" customHeight="1">
      <c r="B22" s="21" t="s">
        <v>168</v>
      </c>
      <c r="D22" s="41">
        <f>435*309.3*12</f>
        <v>1614546</v>
      </c>
      <c r="F22" s="64">
        <f>Liabilities!D9*12</f>
        <v>2288274</v>
      </c>
    </row>
    <row r="23" ht="19.5" customHeight="1">
      <c r="B23" s="21" t="s">
        <v>169</v>
      </c>
      <c r="D23" s="41">
        <f>D16</f>
        <v>400000</v>
      </c>
      <c r="F23" s="65">
        <f>'Cash Flow'!E17</f>
        <v>1614546</v>
      </c>
    </row>
    <row r="24" ht="19.5" customHeight="1">
      <c r="B24" s="66" t="s">
        <v>170</v>
      </c>
      <c r="C24" s="34"/>
      <c r="D24" s="67">
        <f>(515*309.3+31400)*12+435*309.3*12+D16</f>
        <v>4302820</v>
      </c>
      <c r="E24" s="34"/>
      <c r="F24" s="34"/>
      <c r="G24" s="34"/>
    </row>
    <row r="25" ht="19.5" customHeight="1">
      <c r="B25" s="68" t="s">
        <v>171</v>
      </c>
      <c r="C25" s="69"/>
      <c r="D25" s="70">
        <f>F12-D24</f>
        <v>394473</v>
      </c>
      <c r="E25" s="69"/>
      <c r="F25" s="69">
        <f>SUM(F22:F24)</f>
        <v>3902820</v>
      </c>
      <c r="G25" s="69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F2"/>
    <mergeCell ref="B3:F3"/>
    <mergeCell ref="B5:F5"/>
    <mergeCell ref="B14:F14"/>
    <mergeCell ref="B19:F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5" width="22.0"/>
    <col customWidth="1" min="6" max="6" width="35.0"/>
    <col customWidth="1" min="7" max="7" width="15.57"/>
    <col customWidth="1" min="8" max="26" width="8.71"/>
  </cols>
  <sheetData>
    <row r="1" ht="14.25" customHeight="1"/>
    <row r="2" ht="34.5" customHeight="1">
      <c r="B2" s="1" t="s">
        <v>172</v>
      </c>
    </row>
    <row r="3" ht="14.25" customHeight="1">
      <c r="B3" s="24" t="s">
        <v>137</v>
      </c>
    </row>
    <row r="4" ht="14.25" customHeight="1"/>
    <row r="5" ht="19.5" customHeight="1">
      <c r="B5" s="10" t="s">
        <v>173</v>
      </c>
      <c r="C5" s="6"/>
      <c r="D5" s="6"/>
      <c r="E5" s="6"/>
      <c r="F5" s="7"/>
    </row>
    <row r="6" ht="19.5" customHeight="1">
      <c r="B6" s="25" t="s">
        <v>102</v>
      </c>
      <c r="C6" s="25" t="s">
        <v>42</v>
      </c>
      <c r="D6" s="25" t="s">
        <v>140</v>
      </c>
      <c r="E6" s="25" t="s">
        <v>141</v>
      </c>
      <c r="F6" s="25" t="s">
        <v>174</v>
      </c>
      <c r="G6" s="25" t="s">
        <v>45</v>
      </c>
    </row>
    <row r="7" ht="19.5" customHeight="1">
      <c r="B7" s="71" t="s">
        <v>175</v>
      </c>
      <c r="C7" s="69"/>
      <c r="D7" s="69"/>
      <c r="E7" s="69"/>
      <c r="F7" s="69"/>
    </row>
    <row r="8" ht="19.5" customHeight="1">
      <c r="B8" s="11" t="s">
        <v>176</v>
      </c>
      <c r="C8" s="27" t="s">
        <v>143</v>
      </c>
      <c r="D8" s="12">
        <f>'Income Statement'!D7</f>
        <v>355695</v>
      </c>
      <c r="E8" s="40">
        <f t="shared" ref="E8:E12" si="1">D8*12</f>
        <v>4268340</v>
      </c>
      <c r="F8" s="11"/>
      <c r="G8" s="29" t="s">
        <v>177</v>
      </c>
    </row>
    <row r="9" ht="19.5" customHeight="1">
      <c r="B9" s="13" t="s">
        <v>145</v>
      </c>
      <c r="C9" s="31" t="s">
        <v>146</v>
      </c>
      <c r="D9" s="14">
        <f>'Income Statement'!D8</f>
        <v>24500</v>
      </c>
      <c r="E9" s="41">
        <f t="shared" si="1"/>
        <v>294000</v>
      </c>
      <c r="G9" s="22" t="s">
        <v>147</v>
      </c>
    </row>
    <row r="10" ht="19.5" customHeight="1">
      <c r="B10" s="11" t="s">
        <v>178</v>
      </c>
      <c r="C10" s="27" t="s">
        <v>149</v>
      </c>
      <c r="D10" s="12">
        <f>'Income Statement'!D9</f>
        <v>5833.333333</v>
      </c>
      <c r="E10" s="40">
        <f t="shared" si="1"/>
        <v>70000</v>
      </c>
      <c r="F10" s="11"/>
      <c r="G10" s="29" t="s">
        <v>179</v>
      </c>
    </row>
    <row r="11" ht="19.5" customHeight="1">
      <c r="B11" s="13" t="s">
        <v>180</v>
      </c>
      <c r="C11" s="31" t="s">
        <v>152</v>
      </c>
      <c r="D11" s="14">
        <f>'Income Statement'!D10</f>
        <v>2706.375</v>
      </c>
      <c r="E11" s="41">
        <f t="shared" si="1"/>
        <v>32476.5</v>
      </c>
      <c r="G11" s="22" t="s">
        <v>181</v>
      </c>
    </row>
    <row r="12" ht="19.5" customHeight="1">
      <c r="B12" s="11" t="s">
        <v>182</v>
      </c>
      <c r="C12" s="27" t="s">
        <v>152</v>
      </c>
      <c r="D12" s="12">
        <f>'Income Statement'!D11</f>
        <v>2706.375</v>
      </c>
      <c r="E12" s="40">
        <f t="shared" si="1"/>
        <v>32476.5</v>
      </c>
      <c r="F12" s="11"/>
      <c r="G12" s="29" t="s">
        <v>181</v>
      </c>
    </row>
    <row r="13" ht="19.5" customHeight="1">
      <c r="B13" s="72" t="s">
        <v>183</v>
      </c>
      <c r="C13" s="73"/>
      <c r="D13" s="74">
        <f t="shared" ref="D13:E13" si="2">SUM(D8:D12)</f>
        <v>391441.0833</v>
      </c>
      <c r="E13" s="74">
        <f t="shared" si="2"/>
        <v>4697293</v>
      </c>
      <c r="F13" s="73"/>
      <c r="G13" s="73"/>
    </row>
    <row r="14" ht="19.5" customHeight="1"/>
    <row r="15" ht="19.5" customHeight="1">
      <c r="B15" s="53" t="s">
        <v>184</v>
      </c>
      <c r="C15" s="44"/>
      <c r="D15" s="44"/>
      <c r="E15" s="44"/>
      <c r="F15" s="44"/>
    </row>
    <row r="16" ht="19.5" customHeight="1">
      <c r="B16" s="11" t="s">
        <v>185</v>
      </c>
      <c r="C16" s="27" t="s">
        <v>186</v>
      </c>
      <c r="D16" s="12">
        <f>Liabilities!D8</f>
        <v>159289.5</v>
      </c>
      <c r="E16" s="40">
        <f t="shared" ref="E16:E18" si="3">D16*12</f>
        <v>1911474</v>
      </c>
      <c r="F16" s="11"/>
      <c r="G16" s="29" t="s">
        <v>187</v>
      </c>
    </row>
    <row r="17" ht="19.5" customHeight="1">
      <c r="B17" s="13" t="s">
        <v>188</v>
      </c>
      <c r="C17" s="31" t="s">
        <v>189</v>
      </c>
      <c r="D17" s="14">
        <v>134545.5</v>
      </c>
      <c r="E17" s="41">
        <f t="shared" si="3"/>
        <v>1614546</v>
      </c>
      <c r="G17" s="22" t="s">
        <v>190</v>
      </c>
    </row>
    <row r="18" ht="19.5" customHeight="1">
      <c r="B18" s="11" t="s">
        <v>191</v>
      </c>
      <c r="C18" s="27" t="s">
        <v>192</v>
      </c>
      <c r="D18" s="12">
        <f>Liabilities!D7</f>
        <v>31400</v>
      </c>
      <c r="E18" s="40">
        <f t="shared" si="3"/>
        <v>376800</v>
      </c>
      <c r="F18" s="11"/>
      <c r="G18" s="29" t="s">
        <v>193</v>
      </c>
    </row>
    <row r="19" ht="19.5" customHeight="1">
      <c r="B19" s="75" t="s">
        <v>194</v>
      </c>
      <c r="C19" s="76"/>
      <c r="D19" s="77">
        <f t="shared" ref="D19:E19" si="4">SUM(D16:D18)</f>
        <v>325235</v>
      </c>
      <c r="E19" s="77">
        <f t="shared" si="4"/>
        <v>3902820</v>
      </c>
      <c r="F19" s="76"/>
      <c r="G19" s="76"/>
    </row>
    <row r="20" ht="19.5" customHeight="1"/>
    <row r="21" ht="19.5" customHeight="1">
      <c r="B21" s="10" t="s">
        <v>195</v>
      </c>
      <c r="C21" s="6"/>
      <c r="D21" s="6"/>
      <c r="E21" s="6"/>
      <c r="F21" s="7"/>
    </row>
    <row r="22" ht="19.5" customHeight="1">
      <c r="B22" s="78" t="s">
        <v>196</v>
      </c>
      <c r="C22" s="69"/>
      <c r="D22" s="70">
        <f t="shared" ref="D22:E22" si="5">D13-D19</f>
        <v>66206.08333</v>
      </c>
      <c r="E22" s="70">
        <f t="shared" si="5"/>
        <v>794473</v>
      </c>
      <c r="F22" s="69"/>
      <c r="G22" s="69"/>
    </row>
    <row r="23" ht="19.5" customHeight="1">
      <c r="B23" s="21" t="s">
        <v>197</v>
      </c>
      <c r="D23" s="56">
        <f t="shared" ref="D23:E23" si="6">D22/D13</f>
        <v>0.1691342226</v>
      </c>
      <c r="E23" s="56">
        <f t="shared" si="6"/>
        <v>0.1691342226</v>
      </c>
    </row>
    <row r="24" ht="19.5" customHeight="1"/>
    <row r="25" ht="19.5" customHeight="1">
      <c r="B25" s="10" t="s">
        <v>198</v>
      </c>
      <c r="C25" s="6"/>
      <c r="D25" s="6"/>
      <c r="E25" s="6"/>
      <c r="F25" s="7"/>
    </row>
    <row r="26" ht="19.5" customHeight="1">
      <c r="B26" s="13" t="s">
        <v>199</v>
      </c>
      <c r="E26" s="14">
        <f>'Income Statement'!D16</f>
        <v>400000</v>
      </c>
      <c r="F26" s="22" t="s">
        <v>200</v>
      </c>
    </row>
    <row r="27" ht="19.5" customHeight="1">
      <c r="B27" s="33" t="s">
        <v>201</v>
      </c>
      <c r="C27" s="34"/>
      <c r="D27" s="34"/>
      <c r="E27" s="35">
        <f>E19+E26</f>
        <v>4302820</v>
      </c>
      <c r="F27" s="34"/>
      <c r="G27" s="34"/>
    </row>
    <row r="28" ht="19.5" customHeight="1">
      <c r="B28" s="79" t="s">
        <v>202</v>
      </c>
      <c r="C28" s="69"/>
      <c r="D28" s="69"/>
      <c r="E28" s="70">
        <f>E13-E27</f>
        <v>394473</v>
      </c>
      <c r="F28" s="69"/>
      <c r="G28" s="69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F2"/>
    <mergeCell ref="B3:F3"/>
    <mergeCell ref="B5:F5"/>
    <mergeCell ref="B21:F21"/>
    <mergeCell ref="B25:F25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" t="s">
        <v>203</v>
      </c>
      <c r="D1" s="23" t="s">
        <v>204</v>
      </c>
      <c r="G1" s="23" t="s">
        <v>205</v>
      </c>
      <c r="K1" s="23" t="s">
        <v>206</v>
      </c>
      <c r="W1" s="23" t="s">
        <v>67</v>
      </c>
      <c r="X1" s="23" t="s">
        <v>207</v>
      </c>
      <c r="Z1" s="23" t="s">
        <v>208</v>
      </c>
      <c r="AA1" s="23" t="s">
        <v>209</v>
      </c>
      <c r="AC1" s="23" t="s">
        <v>210</v>
      </c>
      <c r="AD1" s="23" t="s">
        <v>211</v>
      </c>
      <c r="AF1" s="23" t="s">
        <v>212</v>
      </c>
      <c r="AG1" s="23" t="s">
        <v>207</v>
      </c>
    </row>
    <row r="2">
      <c r="A2" s="23" t="s">
        <v>213</v>
      </c>
      <c r="B2" s="23" t="s">
        <v>207</v>
      </c>
      <c r="D2" s="23" t="s">
        <v>214</v>
      </c>
      <c r="E2" s="23" t="s">
        <v>207</v>
      </c>
      <c r="G2" s="23" t="s">
        <v>210</v>
      </c>
      <c r="H2" s="23" t="s">
        <v>215</v>
      </c>
      <c r="I2" s="23" t="s">
        <v>216</v>
      </c>
      <c r="K2" s="23" t="s">
        <v>88</v>
      </c>
      <c r="L2" s="23" t="s">
        <v>217</v>
      </c>
      <c r="N2" s="23" t="s">
        <v>139</v>
      </c>
      <c r="O2" s="23" t="s">
        <v>211</v>
      </c>
      <c r="Q2" s="23" t="s">
        <v>218</v>
      </c>
      <c r="R2" s="23" t="s">
        <v>211</v>
      </c>
      <c r="T2" s="23" t="s">
        <v>219</v>
      </c>
      <c r="U2" s="23" t="s">
        <v>207</v>
      </c>
      <c r="W2" s="64" t="str">
        <f>Assets!B17</f>
        <v>Property</v>
      </c>
      <c r="X2" s="64" t="str">
        <f>Assets!D17</f>
        <v>Estimated Value (INR)</v>
      </c>
      <c r="Z2" s="64" t="str">
        <f>Liabilities!B7</f>
        <v>Home Loan (India)</v>
      </c>
      <c r="AA2" s="65">
        <f>Liabilities!D7</f>
        <v>31400</v>
      </c>
      <c r="AC2" s="23" t="s">
        <v>220</v>
      </c>
      <c r="AD2" s="64">
        <f>'Cash Flow'!D13*12</f>
        <v>4697293</v>
      </c>
      <c r="AF2" s="64" t="str">
        <f>Assets!B7</f>
        <v>Fixed Deposit – Emergency Fund (India)</v>
      </c>
      <c r="AG2" s="65">
        <f>Assets!D7</f>
        <v>1000000</v>
      </c>
    </row>
    <row r="3">
      <c r="A3" s="23" t="s">
        <v>4</v>
      </c>
      <c r="B3" s="80">
        <v>3.990575E7</v>
      </c>
      <c r="D3" s="23" t="s">
        <v>46</v>
      </c>
      <c r="E3" s="81">
        <v>1000000.0</v>
      </c>
      <c r="G3" s="23" t="s">
        <v>176</v>
      </c>
      <c r="H3" s="80">
        <v>355695.0</v>
      </c>
      <c r="I3" s="80">
        <v>0.0</v>
      </c>
      <c r="K3" s="23" t="s">
        <v>94</v>
      </c>
      <c r="L3" s="80">
        <v>600000.0</v>
      </c>
      <c r="N3" s="64" t="str">
        <f>IFERROR(__xludf.DUMMYFUNCTION("QUERY(G3:I10, ""SELECT G, H WHERE H &gt; 0"", 0)"),"Freelance Income")</f>
        <v>Freelance Income</v>
      </c>
      <c r="O3" s="82">
        <f>IFERROR(__xludf.DUMMYFUNCTION("""COMPUTED_VALUE"""),355695.0)</f>
        <v>355695</v>
      </c>
      <c r="Q3" s="64" t="str">
        <f>IFERROR(__xludf.DUMMYFUNCTION("QUERY(G3:I10, ""SELECT G, I WHERE I &gt; 0"", 0)"),"Personal Loan EMI")</f>
        <v>Personal Loan EMI</v>
      </c>
      <c r="R3" s="82">
        <f>IFERROR(__xludf.DUMMYFUNCTION("""COMPUTED_VALUE"""),159290.0)</f>
        <v>159290</v>
      </c>
      <c r="T3" s="23" t="s">
        <v>221</v>
      </c>
      <c r="U3" s="64">
        <f>SUM(E3:E9)</f>
        <v>18005750</v>
      </c>
      <c r="W3" s="64" t="str">
        <f>Assets!B18</f>
        <v>Residential Flat*</v>
      </c>
      <c r="X3" s="65">
        <f>Assets!D18</f>
        <v>8400000</v>
      </c>
      <c r="Z3" s="64" t="str">
        <f>Liabilities!B8</f>
        <v>Personal Loan (Kuwait)</v>
      </c>
      <c r="AA3" s="65">
        <f>Liabilities!D8</f>
        <v>159289.5</v>
      </c>
      <c r="AC3" s="23" t="s">
        <v>222</v>
      </c>
      <c r="AD3" s="64">
        <f>'Cash Flow'!D19*12</f>
        <v>3902820</v>
      </c>
      <c r="AF3" s="64" t="str">
        <f>Assets!B8</f>
        <v>Emergency Fund (Kuwait)</v>
      </c>
      <c r="AG3" s="65">
        <f>Assets!D8</f>
        <v>1237200</v>
      </c>
    </row>
    <row r="4">
      <c r="A4" s="23" t="s">
        <v>5</v>
      </c>
      <c r="B4" s="80">
        <v>1.3640734E7</v>
      </c>
      <c r="D4" s="23" t="s">
        <v>49</v>
      </c>
      <c r="E4" s="81">
        <v>1237200.0</v>
      </c>
      <c r="G4" s="23" t="s">
        <v>223</v>
      </c>
      <c r="H4" s="80">
        <v>24500.0</v>
      </c>
      <c r="I4" s="80">
        <v>0.0</v>
      </c>
      <c r="K4" s="23" t="s">
        <v>97</v>
      </c>
      <c r="L4" s="80">
        <v>7540734.0</v>
      </c>
      <c r="N4" s="64" t="str">
        <f>IFERROR(__xludf.DUMMYFUNCTION("""COMPUTED_VALUE"""),"Rental Income")</f>
        <v>Rental Income</v>
      </c>
      <c r="O4" s="82">
        <f>IFERROR(__xludf.DUMMYFUNCTION("""COMPUTED_VALUE"""),24500.0)</f>
        <v>24500</v>
      </c>
      <c r="Q4" s="64" t="str">
        <f>IFERROR(__xludf.DUMMYFUNCTION("""COMPUTED_VALUE"""),"Household Expenses")</f>
        <v>Household Expenses</v>
      </c>
      <c r="R4" s="82">
        <f>IFERROR(__xludf.DUMMYFUNCTION("""COMPUTED_VALUE"""),134546.0)</f>
        <v>134546</v>
      </c>
      <c r="T4" s="23" t="s">
        <v>224</v>
      </c>
      <c r="U4" s="64">
        <f>SUM(E10:E13)</f>
        <v>21900000</v>
      </c>
      <c r="W4" s="64" t="str">
        <f>Assets!B19</f>
        <v>Plot 1</v>
      </c>
      <c r="X4" s="65">
        <f>Assets!D19</f>
        <v>5000000</v>
      </c>
      <c r="AF4" s="64" t="str">
        <f>Assets!B9</f>
        <v>Fixed Deposit – Company Capital (Kuwait)</v>
      </c>
      <c r="AG4" s="65">
        <f>Assets!D9</f>
        <v>927900</v>
      </c>
    </row>
    <row r="5">
      <c r="A5" s="23" t="s">
        <v>6</v>
      </c>
      <c r="B5" s="80">
        <v>2.6265016E7</v>
      </c>
      <c r="D5" s="23" t="s">
        <v>52</v>
      </c>
      <c r="E5" s="81">
        <v>927900.0</v>
      </c>
      <c r="G5" s="23" t="s">
        <v>225</v>
      </c>
      <c r="H5" s="80">
        <v>5833.0</v>
      </c>
      <c r="I5" s="80">
        <v>0.0</v>
      </c>
      <c r="N5" s="64" t="str">
        <f>IFERROR(__xludf.DUMMYFUNCTION("""COMPUTED_VALUE"""),"FD Interest (India)")</f>
        <v>FD Interest (India)</v>
      </c>
      <c r="O5" s="82">
        <f>IFERROR(__xludf.DUMMYFUNCTION("""COMPUTED_VALUE"""),5833.0)</f>
        <v>5833</v>
      </c>
      <c r="Q5" s="64" t="str">
        <f>IFERROR(__xludf.DUMMYFUNCTION("""COMPUTED_VALUE"""),"Home Loan EMI")</f>
        <v>Home Loan EMI</v>
      </c>
      <c r="R5" s="82">
        <f>IFERROR(__xludf.DUMMYFUNCTION("""COMPUTED_VALUE"""),31400.0)</f>
        <v>31400</v>
      </c>
      <c r="W5" s="64" t="str">
        <f>Assets!B20</f>
        <v>Plot 2</v>
      </c>
      <c r="X5" s="65">
        <f>Assets!D20</f>
        <v>5000000</v>
      </c>
      <c r="AF5" s="64" t="str">
        <f>Assets!B10</f>
        <v>Fixed Deposit – Son's CFA Studies (Kuwait)</v>
      </c>
      <c r="AG5" s="65">
        <f>Assets!D10</f>
        <v>927900</v>
      </c>
    </row>
    <row r="6">
      <c r="A6" s="23" t="s">
        <v>7</v>
      </c>
      <c r="B6" s="80">
        <v>66206.0</v>
      </c>
      <c r="D6" s="23" t="s">
        <v>55</v>
      </c>
      <c r="E6" s="81">
        <v>927900.0</v>
      </c>
      <c r="G6" s="23" t="s">
        <v>226</v>
      </c>
      <c r="H6" s="80">
        <v>2706.0</v>
      </c>
      <c r="I6" s="80">
        <v>0.0</v>
      </c>
      <c r="N6" s="64" t="str">
        <f>IFERROR(__xludf.DUMMYFUNCTION("""COMPUTED_VALUE"""),"FD Interest (Co. Capital)")</f>
        <v>FD Interest (Co. Capital)</v>
      </c>
      <c r="O6" s="82">
        <f>IFERROR(__xludf.DUMMYFUNCTION("""COMPUTED_VALUE"""),2706.0)</f>
        <v>2706</v>
      </c>
      <c r="AF6" s="64" t="str">
        <f>Assets!B11</f>
        <v>Savings Account – Investable Corpus (India)</v>
      </c>
      <c r="AG6" s="65">
        <f>Assets!D11</f>
        <v>3500000</v>
      </c>
    </row>
    <row r="7">
      <c r="A7" s="23" t="s">
        <v>8</v>
      </c>
      <c r="B7" s="80">
        <v>794473.0</v>
      </c>
      <c r="D7" s="23" t="s">
        <v>56</v>
      </c>
      <c r="E7" s="81">
        <v>3500000.0</v>
      </c>
      <c r="G7" s="23" t="s">
        <v>227</v>
      </c>
      <c r="H7" s="80">
        <v>2706.0</v>
      </c>
      <c r="I7" s="80">
        <v>0.0</v>
      </c>
      <c r="N7" s="64" t="str">
        <f>IFERROR(__xludf.DUMMYFUNCTION("""COMPUTED_VALUE"""),"FD Interest (Son's CFA)")</f>
        <v>FD Interest (Son's CFA)</v>
      </c>
      <c r="O7" s="82">
        <f>IFERROR(__xludf.DUMMYFUNCTION("""COMPUTED_VALUE"""),2706.0)</f>
        <v>2706</v>
      </c>
      <c r="AF7" s="64" t="str">
        <f>Assets!B12</f>
        <v>Loan Receivable (Kuwait)</v>
      </c>
      <c r="AG7" s="65">
        <f>Assets!D12</f>
        <v>5412750</v>
      </c>
    </row>
    <row r="8">
      <c r="D8" s="23" t="s">
        <v>59</v>
      </c>
      <c r="E8" s="81">
        <v>5412750.0</v>
      </c>
      <c r="G8" s="23" t="s">
        <v>228</v>
      </c>
      <c r="H8" s="80">
        <v>0.0</v>
      </c>
      <c r="I8" s="80">
        <v>159290.0</v>
      </c>
      <c r="AF8" s="64" t="str">
        <f>Assets!B13</f>
        <v>Gold (in locker)</v>
      </c>
      <c r="AG8" s="65">
        <f>Assets!D13</f>
        <v>5000000</v>
      </c>
    </row>
    <row r="9">
      <c r="D9" s="23" t="s">
        <v>62</v>
      </c>
      <c r="E9" s="81">
        <v>5000000.0</v>
      </c>
      <c r="G9" s="23" t="s">
        <v>229</v>
      </c>
      <c r="H9" s="80">
        <v>0.0</v>
      </c>
      <c r="I9" s="80">
        <v>134546.0</v>
      </c>
    </row>
    <row r="10">
      <c r="D10" s="23" t="s">
        <v>230</v>
      </c>
      <c r="E10" s="81">
        <v>8400000.0</v>
      </c>
      <c r="G10" s="23" t="s">
        <v>231</v>
      </c>
      <c r="H10" s="80">
        <v>0.0</v>
      </c>
      <c r="I10" s="80">
        <v>31400.0</v>
      </c>
    </row>
    <row r="11">
      <c r="D11" s="23" t="s">
        <v>232</v>
      </c>
      <c r="E11" s="81">
        <v>5000000.0</v>
      </c>
    </row>
    <row r="12">
      <c r="D12" s="23" t="s">
        <v>233</v>
      </c>
      <c r="E12" s="81">
        <v>5000000.0</v>
      </c>
    </row>
    <row r="13">
      <c r="D13" s="23" t="s">
        <v>234</v>
      </c>
      <c r="E13" s="81">
        <v>3500000.0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15" width="15.86"/>
  </cols>
  <sheetData>
    <row r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</row>
    <row r="2">
      <c r="A2" s="83"/>
      <c r="B2" s="84" t="s">
        <v>235</v>
      </c>
      <c r="P2" s="83"/>
      <c r="Q2" s="83"/>
      <c r="R2" s="83"/>
      <c r="S2" s="83"/>
      <c r="T2" s="83"/>
    </row>
    <row r="3">
      <c r="A3" s="83"/>
      <c r="P3" s="83"/>
      <c r="Q3" s="83"/>
      <c r="R3" s="83"/>
      <c r="S3" s="83"/>
      <c r="T3" s="83"/>
    </row>
    <row r="4">
      <c r="A4" s="83"/>
      <c r="P4" s="83"/>
      <c r="Q4" s="83"/>
      <c r="R4" s="83"/>
      <c r="S4" s="83"/>
      <c r="T4" s="83"/>
    </row>
    <row r="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</row>
    <row r="6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</row>
    <row r="7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</row>
    <row r="8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</row>
    <row r="9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</row>
    <row r="10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</row>
    <row r="1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</row>
    <row r="1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</row>
    <row r="13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</row>
    <row r="14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</row>
    <row r="15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</row>
    <row r="16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</row>
    <row r="17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</row>
    <row r="1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</row>
    <row r="19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</row>
    <row r="20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</row>
    <row r="2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</row>
    <row r="2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</row>
    <row r="23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</row>
    <row r="2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</row>
    <row r="26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</row>
    <row r="27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</row>
    <row r="28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</row>
    <row r="29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</row>
    <row r="3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</row>
    <row r="33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</row>
    <row r="34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</row>
    <row r="3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</row>
    <row r="37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</row>
    <row r="38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</row>
    <row r="39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</row>
    <row r="4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</row>
    <row r="43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</row>
    <row r="44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</row>
    <row r="4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</row>
    <row r="46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</row>
    <row r="47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</row>
  </sheetData>
  <mergeCells count="1">
    <mergeCell ref="B2:O4"/>
  </mergeCells>
  <drawing r:id="rId1"/>
</worksheet>
</file>